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estants" sheetId="2" state="visible" r:id="rId4"/>
    <sheet name="Episodes" sheetId="3" state="visible" r:id="rId5"/>
    <sheet name="Group_Performances" sheetId="4" state="visible" r:id="rId6"/>
    <sheet name="Progress" sheetId="5" state="visible" r:id="rId7"/>
    <sheet name="Final_Five" sheetId="6" state="visible" r:id="rId8"/>
    <sheet name="Discography" sheetId="7" state="visible" r:id="rId9"/>
    <sheet name="Timeline" sheetId="8" state="visible" r:id="rId10"/>
    <sheet name="Tours" sheetId="9" state="visible" r:id="rId11"/>
    <sheet name="TV_Appearances" sheetId="10" state="visible" r:id="rId12"/>
    <sheet name="Post_Show" sheetId="11" state="visible" r:id="rId13"/>
    <sheet name="Summary" sheetId="12" state="visible" r:id="rId14"/>
    <sheet name="Source_Conflicts" sheetId="13" state="visible" r:id="rId15"/>
    <sheet name="Sources" sheetId="14" state="visible" r:id="rId16"/>
  </sheets>
  <definedNames>
    <definedName function="false" hidden="true" localSheetId="1" name="_xlnm._FilterDatabase" vbProcedure="false">Contestants!$A$1:$P$31</definedName>
    <definedName function="false" hidden="true" localSheetId="6" name="_xlnm._FilterDatabase" vbProcedure="false">Discography!$A$1:$H$14</definedName>
    <definedName function="false" hidden="true" localSheetId="2" name="_xlnm._FilterDatabase" vbProcedure="false">Episodes!$A$1:$G$11</definedName>
    <definedName function="false" hidden="true" localSheetId="5" name="_xlnm._FilterDatabase" vbProcedure="false">Final_Five!$A$1:$H$6</definedName>
    <definedName function="false" hidden="true" localSheetId="3" name="_xlnm._FilterDatabase" vbProcedure="false">Group_Performances!$A$1:$H$19</definedName>
    <definedName function="false" hidden="true" localSheetId="10" name="_xlnm._FilterDatabase" vbProcedure="false">Post_Show!$A$1:$E$9</definedName>
    <definedName function="false" hidden="true" localSheetId="4" name="_xlnm._FilterDatabase" vbProcedure="false">Progress!$A$1:$E$142</definedName>
    <definedName function="false" hidden="true" localSheetId="12" name="_xlnm._FilterDatabase" vbProcedure="false">Source_Conflicts!$A$1:$D$7</definedName>
    <definedName function="false" hidden="true" localSheetId="13" name="_xlnm._FilterDatabase" vbProcedure="false">Sources!$A$1:$B$14</definedName>
    <definedName function="false" hidden="true" localSheetId="7" name="_xlnm._FilterDatabase" vbProcedure="false">Timeline!$A$1:$F$26</definedName>
    <definedName function="false" hidden="true" localSheetId="8" name="_xlnm._FilterDatabase" vbProcedure="false">Tours!$A$1:$G$4</definedName>
    <definedName function="false" hidden="true" localSheetId="9" name="_xlnm._FilterDatabase" vbProcedure="false">TV_Appearances!$A$1:$E$8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<sst xmlns="http://schemas.openxmlformats.org/spreadsheetml/2006/main" count="1214" uniqueCount="547">
  <si>
    <t xml:space="preserve">Boy Band (ABC, 2017) x In Real Life dataset</t>
  </si>
  <si>
    <t xml:space="preserve">Built Oct 25, 2026 from public web sources (Wikipedia, the In Real Life Fandom wiki, press and recap articles). See Sources and Source_Conflicts tabs.</t>
  </si>
  <si>
    <t xml:space="preserve">Tabs: Contestants (30), Episodes (10), Group_Performances (18), Progress (contestant x episode), Final_Five, Discography, Timeline, Tours, TV_Appearances, Post_Show, Summary (live formulas), Source_Conflicts, Sources.</t>
  </si>
  <si>
    <t xml:space="preserve">Known gaps (not filled with guesses):</t>
  </si>
  <si>
    <t xml:space="preserve">- Ep 9 solo songs and viewer-vote details are not in the sources I could reach.</t>
  </si>
  <si>
    <t xml:space="preserve">- Ep 5 bottom-two other than Dorian Tyler is unknown; ep 6 bottom lists only the two eliminated.</t>
  </si>
  <si>
    <t xml:space="preserve">- Exact release dates for How Badly, Got Me Good, Somebody Like You, Hurt for Long, holiday singles not found (year only).</t>
  </si>
  <si>
    <t xml:space="preserve">- Original_artist column is from general knowledge, not the fetched pages; left blank where the cover was ambiguous (Stay, Without You, Jealous).</t>
  </si>
  <si>
    <t xml:space="preserve">- Audition songs exist only for the final five; other contestants' audition songs were not in sources.</t>
  </si>
  <si>
    <t xml:space="preserve">- bottom_appearances counts only documented bottom placements (eliminated or saved), so it undercounts Ep 5/6.</t>
  </si>
  <si>
    <t xml:space="preserve">contestant_id</t>
  </si>
  <si>
    <t xml:space="preserve">contestant</t>
  </si>
  <si>
    <t xml:space="preserve">age_wikipedia</t>
  </si>
  <si>
    <t xml:space="preserve">age_abc_list</t>
  </si>
  <si>
    <t xml:space="preserve">hometown</t>
  </si>
  <si>
    <t xml:space="preserve">hometown_alt</t>
  </si>
  <si>
    <t xml:space="preserve">status</t>
  </si>
  <si>
    <t xml:space="preserve">elimination_episode</t>
  </si>
  <si>
    <t xml:space="preserve">made_top18</t>
  </si>
  <si>
    <t xml:space="preserve">made_top5</t>
  </si>
  <si>
    <t xml:space="preserve">irl_member</t>
  </si>
  <si>
    <t xml:space="preserve">audition_song</t>
  </si>
  <si>
    <t xml:space="preserve">prior_show_experience</t>
  </si>
  <si>
    <t xml:space="preserve">group_performances</t>
  </si>
  <si>
    <t xml:space="preserve">bottom_appearances</t>
  </si>
  <si>
    <t xml:space="preserve">notes</t>
  </si>
  <si>
    <t xml:space="preserve">C01</t>
  </si>
  <si>
    <t xml:space="preserve">Sergio Calderon Jr.</t>
  </si>
  <si>
    <t xml:space="preserve">Redwood City, California</t>
  </si>
  <si>
    <t xml:space="preserve">winner_IRL</t>
  </si>
  <si>
    <t xml:space="preserve">Y</t>
  </si>
  <si>
    <t xml:space="preserve">Stand by Me (Prince Royce, bilingual)</t>
  </si>
  <si>
    <t xml:space="preserve">Bottom two in Ep 8 with Devin Hayes; saved by viewers</t>
  </si>
  <si>
    <t xml:space="preserve">C02</t>
  </si>
  <si>
    <t xml:space="preserve">Brady Tutton</t>
  </si>
  <si>
    <t xml:space="preserve">Shorewood, Wisconsin</t>
  </si>
  <si>
    <t xml:space="preserve">On Bended Knee (Boyz II Men)</t>
  </si>
  <si>
    <t xml:space="preserve">Played Brock on Fresh Off the Boat</t>
  </si>
  <si>
    <t xml:space="preserve">Youngest IRL member; never in bottom two/three</t>
  </si>
  <si>
    <t xml:space="preserve">C03</t>
  </si>
  <si>
    <t xml:space="preserve">Michael Conor Smith</t>
  </si>
  <si>
    <t xml:space="preserve">Cleveland, Ohio</t>
  </si>
  <si>
    <t xml:space="preserve">Shaker Heights, Ohio</t>
  </si>
  <si>
    <t xml:space="preserve">A Little More (Machine Gun Kelly)</t>
  </si>
  <si>
    <t xml:space="preserve">Billed as 'Michael Conor' until June 2019; rapping violinist; never in bottom</t>
  </si>
  <si>
    <t xml:space="preserve">C04</t>
  </si>
  <si>
    <t xml:space="preserve">Chance Perez</t>
  </si>
  <si>
    <t xml:space="preserve">Seal Beach, California</t>
  </si>
  <si>
    <t xml:space="preserve">Somebody to Love (Queen)</t>
  </si>
  <si>
    <t xml:space="preserve">America's Got Talent 2016 as 'The WVKE' (buzzed out)</t>
  </si>
  <si>
    <t xml:space="preserve">Never in bottom</t>
  </si>
  <si>
    <t xml:space="preserve">C05</t>
  </si>
  <si>
    <t xml:space="preserve">Drew Ramos</t>
  </si>
  <si>
    <t xml:space="preserve">Bronx, New York</t>
  </si>
  <si>
    <t xml:space="preserve">Stay with Me (Sam Smith)</t>
  </si>
  <si>
    <t xml:space="preserve">Never in bottom; breakout was MAXED's Can't Take My Eyes Off You</t>
  </si>
  <si>
    <t xml:space="preserve">C06</t>
  </si>
  <si>
    <t xml:space="preserve">Jaden Gray</t>
  </si>
  <si>
    <t xml:space="preserve">Hawthorne, California</t>
  </si>
  <si>
    <t xml:space="preserve">eliminated_final_8</t>
  </si>
  <si>
    <t xml:space="preserve">N</t>
  </si>
  <si>
    <t xml:space="preserve">C07</t>
  </si>
  <si>
    <t xml:space="preserve">Mikey Jimenez</t>
  </si>
  <si>
    <t xml:space="preserve">East Los Angeles, California</t>
  </si>
  <si>
    <t xml:space="preserve">Bottom in Ep 4 (saved)</t>
  </si>
  <si>
    <t xml:space="preserve">C08</t>
  </si>
  <si>
    <t xml:space="preserve">Marcus Pendleton</t>
  </si>
  <si>
    <t xml:space="preserve">Nashville, Tennessee</t>
  </si>
  <si>
    <t xml:space="preserve">C09</t>
  </si>
  <si>
    <t xml:space="preserve">Devin Hayes</t>
  </si>
  <si>
    <t xml:space="preserve">Springfield, Illinois</t>
  </si>
  <si>
    <t xml:space="preserve">eliminated</t>
  </si>
  <si>
    <t xml:space="preserve">Bottom in Ep 7 (saved by America) and Ep 8 (eliminated); Wikipedia lists age 17/18</t>
  </si>
  <si>
    <t xml:space="preserve">C10</t>
  </si>
  <si>
    <t xml:space="preserve">Jay 'J Hype' Gilbert</t>
  </si>
  <si>
    <t xml:space="preserve">Las Vegas, Nevada</t>
  </si>
  <si>
    <t xml:space="preserve">Beatboxer; youngest contestant</t>
  </si>
  <si>
    <t xml:space="preserve">C11</t>
  </si>
  <si>
    <t xml:space="preserve">Andrew Bloom</t>
  </si>
  <si>
    <t xml:space="preserve">Yorba Linda, California</t>
  </si>
  <si>
    <t xml:space="preserve">American Idol S14 and S15 auditions</t>
  </si>
  <si>
    <t xml:space="preserve">Bottom in Ep 2 (saved) and Ep 7 (eliminated)</t>
  </si>
  <si>
    <t xml:space="preserve">C12</t>
  </si>
  <si>
    <t xml:space="preserve">Cam Jackson</t>
  </si>
  <si>
    <t xml:space="preserve">Willingboro, New Jersey</t>
  </si>
  <si>
    <t xml:space="preserve">Listed as 'Camry Jackson' on Wikipedia</t>
  </si>
  <si>
    <t xml:space="preserve">C13</t>
  </si>
  <si>
    <t xml:space="preserve">Andrew Butcher</t>
  </si>
  <si>
    <t xml:space="preserve">Greenwood, Indiana</t>
  </si>
  <si>
    <t xml:space="preserve">Memphis, Tennessee</t>
  </si>
  <si>
    <t xml:space="preserve">Hometown conflict between sources</t>
  </si>
  <si>
    <t xml:space="preserve">C14</t>
  </si>
  <si>
    <t xml:space="preserve">Dorian Tyler</t>
  </si>
  <si>
    <t xml:space="preserve">C15</t>
  </si>
  <si>
    <t xml:space="preserve">Miles Wesley</t>
  </si>
  <si>
    <t xml:space="preserve">Marble Falls, Texas</t>
  </si>
  <si>
    <t xml:space="preserve">Put up in Ep 4 for lacking 'bad boy' energy; eliminated by audience vote</t>
  </si>
  <si>
    <t xml:space="preserve">C16</t>
  </si>
  <si>
    <t xml:space="preserve">Gavin Becker</t>
  </si>
  <si>
    <t xml:space="preserve">Philadelphia, Pennsylvania</t>
  </si>
  <si>
    <t xml:space="preserve">Architects felt he did not stand out</t>
  </si>
  <si>
    <t xml:space="preserve">C17</t>
  </si>
  <si>
    <t xml:space="preserve">Jon Klaasen</t>
  </si>
  <si>
    <t xml:space="preserve">The X Factor US S3 (Forever In Your Mind); American Idol S15 top 50</t>
  </si>
  <si>
    <t xml:space="preserve">C18</t>
  </si>
  <si>
    <t xml:space="preserve">Cameron Armstrong</t>
  </si>
  <si>
    <t xml:space="preserve">Columbia, South Carolina</t>
  </si>
  <si>
    <t xml:space="preserve">Ex on the Beach (US) S3</t>
  </si>
  <si>
    <t xml:space="preserve">Architects wanted him to go solo</t>
  </si>
  <si>
    <t xml:space="preserve">C19</t>
  </si>
  <si>
    <t xml:space="preserve">Alan Ayala</t>
  </si>
  <si>
    <t xml:space="preserve">Monterrey, Mexico</t>
  </si>
  <si>
    <t xml:space="preserve">cut_ep1</t>
  </si>
  <si>
    <t xml:space="preserve">C20</t>
  </si>
  <si>
    <t xml:space="preserve">Gianni Cardinale</t>
  </si>
  <si>
    <t xml:space="preserve">Wikipedia lists age 16/17</t>
  </si>
  <si>
    <t xml:space="preserve">C21</t>
  </si>
  <si>
    <t xml:space="preserve">Santino Cardinale</t>
  </si>
  <si>
    <t xml:space="preserve">C22</t>
  </si>
  <si>
    <t xml:space="preserve">Matthew Dean</t>
  </si>
  <si>
    <t xml:space="preserve">Thousand Oaks, California</t>
  </si>
  <si>
    <t xml:space="preserve">C23</t>
  </si>
  <si>
    <t xml:space="preserve">Jordan Grizzle</t>
  </si>
  <si>
    <t xml:space="preserve">Fort Lauderdale, Florida</t>
  </si>
  <si>
    <t xml:space="preserve">C24</t>
  </si>
  <si>
    <t xml:space="preserve">Lukas James</t>
  </si>
  <si>
    <t xml:space="preserve">Sarasota, Florida</t>
  </si>
  <si>
    <t xml:space="preserve">C25</t>
  </si>
  <si>
    <t xml:space="preserve">Stone Martin</t>
  </si>
  <si>
    <t xml:space="preserve">Hartsville, South Carolina</t>
  </si>
  <si>
    <t xml:space="preserve">The X Factor US S3 (solo)</t>
  </si>
  <si>
    <t xml:space="preserve">C26</t>
  </si>
  <si>
    <t xml:space="preserve">Dylan Rey</t>
  </si>
  <si>
    <t xml:space="preserve">Plano, Texas</t>
  </si>
  <si>
    <t xml:space="preserve">C27</t>
  </si>
  <si>
    <t xml:space="preserve">Zack Taylor</t>
  </si>
  <si>
    <t xml:space="preserve">Kansas City, Missouri</t>
  </si>
  <si>
    <t xml:space="preserve">Kansas City, California (Fandom, likely typo)</t>
  </si>
  <si>
    <t xml:space="preserve">American Idol S14 (as Zack Kaltenbach) top 48</t>
  </si>
  <si>
    <t xml:space="preserve">C28</t>
  </si>
  <si>
    <t xml:space="preserve">Timmy Thames</t>
  </si>
  <si>
    <t xml:space="preserve">Malibu, California</t>
  </si>
  <si>
    <t xml:space="preserve">C29</t>
  </si>
  <si>
    <t xml:space="preserve">Paul Toweh</t>
  </si>
  <si>
    <t xml:space="preserve">Monrovia, Liberia</t>
  </si>
  <si>
    <t xml:space="preserve">C30</t>
  </si>
  <si>
    <t xml:space="preserve">Nate Wyatt</t>
  </si>
  <si>
    <t xml:space="preserve">Cincinnati, Ohio</t>
  </si>
  <si>
    <t xml:space="preserve">episode</t>
  </si>
  <si>
    <t xml:space="preserve">title</t>
  </si>
  <si>
    <t xml:space="preserve">air_date</t>
  </si>
  <si>
    <t xml:space="preserve">prod_code</t>
  </si>
  <si>
    <t xml:space="preserve">us_viewers_millions</t>
  </si>
  <si>
    <t xml:space="preserve">contestants_remaining_after</t>
  </si>
  <si>
    <t xml:space="preserve">format_note</t>
  </si>
  <si>
    <t xml:space="preserve">Meet the Boys</t>
  </si>
  <si>
    <t xml:space="preserve">2017-06-22</t>
  </si>
  <si>
    <t xml:space="preserve">30 audition; 18 advance (12 cut). Uplift performs; Cameron Armstrong eliminated by architects</t>
  </si>
  <si>
    <t xml:space="preserve">Who's Got the Right Stuff</t>
  </si>
  <si>
    <t xml:space="preserve">2017-06-29</t>
  </si>
  <si>
    <t xml:space="preserve">Reverb performs; Jon Klaasen eliminated</t>
  </si>
  <si>
    <t xml:space="preserve">Sweet Sixteen</t>
  </si>
  <si>
    <t xml:space="preserve">2017-07-06</t>
  </si>
  <si>
    <t xml:space="preserve">Six Track performs; Gavin Becker eliminated</t>
  </si>
  <si>
    <t xml:space="preserve">Live Live Live!</t>
  </si>
  <si>
    <t xml:space="preserve">2017-07-13</t>
  </si>
  <si>
    <t xml:space="preserve">First live show; opens with Evolution of Boy Band medley; three new groups; first audience vote (Miles out)</t>
  </si>
  <si>
    <t xml:space="preserve">Blast from the Past</t>
  </si>
  <si>
    <t xml:space="preserve">2017-07-20</t>
  </si>
  <si>
    <t xml:space="preserve">Opens with Uptown Girl; Dorian Tyler eliminated</t>
  </si>
  <si>
    <t xml:space="preserve">Soundtrack Hits</t>
  </si>
  <si>
    <t xml:space="preserve">2017-07-27</t>
  </si>
  <si>
    <t xml:space="preserve">Movie songs; Cam Jackson and Andrew Butcher eliminated</t>
  </si>
  <si>
    <t xml:space="preserve">Break Up Week!</t>
  </si>
  <si>
    <t xml:space="preserve">2017-08-03</t>
  </si>
  <si>
    <t xml:space="preserve">Bottom three Bloom / J Hype / Devin; Devin saved by America</t>
  </si>
  <si>
    <t xml:space="preserve">Girl Power!</t>
  </si>
  <si>
    <t xml:space="preserve">2017-08-10</t>
  </si>
  <si>
    <t xml:space="preserve">Bottom two Sergio / Devin; Devin eliminated</t>
  </si>
  <si>
    <t xml:space="preserve">America, It's Decision Time!</t>
  </si>
  <si>
    <t xml:space="preserve">2017-08-17</t>
  </si>
  <si>
    <t xml:space="preserve">Final eight perform solo numbers; voting window opens</t>
  </si>
  <si>
    <t xml:space="preserve">Top Five Revealed!</t>
  </si>
  <si>
    <t xml:space="preserve">2017-08-24</t>
  </si>
  <si>
    <t xml:space="preserve">Brady, Chance, Drew, Sergio, Michael named In Real Life; debut single Eyes Closed performed</t>
  </si>
  <si>
    <t xml:space="preserve">group</t>
  </si>
  <si>
    <t xml:space="preserve">song</t>
  </si>
  <si>
    <t xml:space="preserve">original_artist</t>
  </si>
  <si>
    <t xml:space="preserve">members</t>
  </si>
  <si>
    <t xml:space="preserve">num_members</t>
  </si>
  <si>
    <t xml:space="preserve">song_confidence</t>
  </si>
  <si>
    <t xml:space="preserve">group_outcome</t>
  </si>
  <si>
    <t xml:space="preserve">Uplift</t>
  </si>
  <si>
    <t xml:space="preserve">That's What I Like</t>
  </si>
  <si>
    <t xml:space="preserve">Bruno Mars</t>
  </si>
  <si>
    <t xml:space="preserve">Cameron Armstrong; Devin Hayes; Drew Ramos; Jay 'J Hype' Gilbert; Marcus Pendleton; Sergio Calderon Jr.</t>
  </si>
  <si>
    <t xml:space="preserve">sourced</t>
  </si>
  <si>
    <t xml:space="preserve">Cameron eliminated</t>
  </si>
  <si>
    <t xml:space="preserve">Reverb</t>
  </si>
  <si>
    <t xml:space="preserve">Stay</t>
  </si>
  <si>
    <t xml:space="preserve">Brady Tutton; Jaden Gray; Cam Jackson; Chance Perez; Andrew Bloom; Jon Klaasen</t>
  </si>
  <si>
    <t xml:space="preserve">Jon eliminated; Bloom in final two</t>
  </si>
  <si>
    <t xml:space="preserve">Six Track</t>
  </si>
  <si>
    <t xml:space="preserve">There's Nothing Holdin' Me Back</t>
  </si>
  <si>
    <t xml:space="preserve">Shawn Mendes</t>
  </si>
  <si>
    <t xml:space="preserve">Mikey Jimenez; Andrew Butcher; Dorian Tyler; Miles Wesley; Gavin Becker; Michael Conor Smith</t>
  </si>
  <si>
    <t xml:space="preserve">Gavin eliminated</t>
  </si>
  <si>
    <t xml:space="preserve">Top Line</t>
  </si>
  <si>
    <t xml:space="preserve">Despacito</t>
  </si>
  <si>
    <t xml:space="preserve">Luis Fonsi &amp; Daddy Yankee</t>
  </si>
  <si>
    <t xml:space="preserve">Chance Perez; Drew Ramos; Michael Conor Smith; Sergio Calderon Jr.; Mikey Jimenez</t>
  </si>
  <si>
    <t xml:space="preserve">song inferred from ordering</t>
  </si>
  <si>
    <t xml:space="preserve">Mikey put up, saved by audience</t>
  </si>
  <si>
    <t xml:space="preserve">TR5BLE</t>
  </si>
  <si>
    <t xml:space="preserve">Rolling in the Deep</t>
  </si>
  <si>
    <t xml:space="preserve">Adele</t>
  </si>
  <si>
    <t xml:space="preserve">Brady Tutton; Marcus Pendleton; Andrew Butcher; Cam Jackson; Dorian Tyler</t>
  </si>
  <si>
    <t xml:space="preserve">Chosen safe group (no one put up)</t>
  </si>
  <si>
    <t xml:space="preserve">Element</t>
  </si>
  <si>
    <t xml:space="preserve">Don't Let Me Down</t>
  </si>
  <si>
    <t xml:space="preserve">The Chainsmokers</t>
  </si>
  <si>
    <t xml:space="preserve">Jaden Gray; Devin Hayes; Andrew Bloom; Jay 'J Hype' Gilbert; Miles Wesley</t>
  </si>
  <si>
    <t xml:space="preserve">Miles eliminated by audience vote</t>
  </si>
  <si>
    <t xml:space="preserve">Timeless</t>
  </si>
  <si>
    <t xml:space="preserve">Livin' on a Prayer</t>
  </si>
  <si>
    <t xml:space="preserve">Bon Jovi</t>
  </si>
  <si>
    <t xml:space="preserve">Chance Perez; Michael Conor Smith; Marcus Pendleton; Andrew Bloom; Andrew Butcher</t>
  </si>
  <si>
    <t xml:space="preserve">song inferred by elimination</t>
  </si>
  <si>
    <t xml:space="preserve">Next Up</t>
  </si>
  <si>
    <t xml:space="preserve">True Colors</t>
  </si>
  <si>
    <t xml:space="preserve">Cyndi Lauper</t>
  </si>
  <si>
    <t xml:space="preserve">Brady Tutton; Jaden Gray; Mikey Jimenez; Dorian Tyler</t>
  </si>
  <si>
    <t xml:space="preserve">Dorian eliminated</t>
  </si>
  <si>
    <t xml:space="preserve">Maxed</t>
  </si>
  <si>
    <t xml:space="preserve">Can't Take My Eyes Off You</t>
  </si>
  <si>
    <t xml:space="preserve">Frankie Valli (Lauryn Hill version)</t>
  </si>
  <si>
    <t xml:space="preserve">Drew Ramos; Sergio Calderon Jr.; Devin Hayes; Jay 'J Hype' Gilbert; Cam Jackson</t>
  </si>
  <si>
    <t xml:space="preserve">Drew's breakout performance</t>
  </si>
  <si>
    <t xml:space="preserve">All In</t>
  </si>
  <si>
    <t xml:space="preserve">How Far I'll Go</t>
  </si>
  <si>
    <t xml:space="preserve">Auli'i Cravalho (Moana)</t>
  </si>
  <si>
    <t xml:space="preserve">Brady Tutton; Chance Perez; Sergio Calderon Jr.; Marcus Pendleton; Mikey Jimenez</t>
  </si>
  <si>
    <t xml:space="preserve">Undivided</t>
  </si>
  <si>
    <t xml:space="preserve">I Don't Want to Miss a Thing</t>
  </si>
  <si>
    <t xml:space="preserve">Aerosmith</t>
  </si>
  <si>
    <t xml:space="preserve">Drew Ramos; Jaden Gray; Devin Hayes; Andrew Butcher</t>
  </si>
  <si>
    <t xml:space="preserve">Butcher eliminated</t>
  </si>
  <si>
    <t xml:space="preserve">Leveled</t>
  </si>
  <si>
    <t xml:space="preserve">See You Again</t>
  </si>
  <si>
    <t xml:space="preserve">Wiz Khalifa ft. Charlie Puth</t>
  </si>
  <si>
    <t xml:space="preserve">Michael Conor Smith; Andrew Bloom; Jay 'J Hype' Gilbert; Cam Jackson</t>
  </si>
  <si>
    <t xml:space="preserve">Cam eliminated</t>
  </si>
  <si>
    <t xml:space="preserve">Relentless</t>
  </si>
  <si>
    <t xml:space="preserve">Since U Been Gone</t>
  </si>
  <si>
    <t xml:space="preserve">Kelly Clarkson</t>
  </si>
  <si>
    <t xml:space="preserve">Brady Tutton; Jaden Gray; Michael Conor Smith; Andrew Bloom</t>
  </si>
  <si>
    <t xml:space="preserve">Bloom eliminated</t>
  </si>
  <si>
    <t xml:space="preserve">Awake</t>
  </si>
  <si>
    <t xml:space="preserve">Without You</t>
  </si>
  <si>
    <t xml:space="preserve">Chance Perez; Drew Ramos; Devin Hayes</t>
  </si>
  <si>
    <t xml:space="preserve">Devin in bottom three, saved by America</t>
  </si>
  <si>
    <t xml:space="preserve">New Wave</t>
  </si>
  <si>
    <t xml:space="preserve">Jealous</t>
  </si>
  <si>
    <t xml:space="preserve">Sergio Calderon Jr.; Marcus Pendleton; Mikey Jimenez; Jay 'J Hype' Gilbert</t>
  </si>
  <si>
    <t xml:space="preserve">J Hype eliminated</t>
  </si>
  <si>
    <t xml:space="preserve">Out of Control</t>
  </si>
  <si>
    <t xml:space="preserve">Titanium</t>
  </si>
  <si>
    <t xml:space="preserve">David Guetta ft. Sia</t>
  </si>
  <si>
    <t xml:space="preserve">Drew Ramos; Jaden Gray; Mikey Jimenez</t>
  </si>
  <si>
    <t xml:space="preserve">Third Wheel</t>
  </si>
  <si>
    <t xml:space="preserve">Fighter</t>
  </si>
  <si>
    <t xml:space="preserve">Christina Aguilera</t>
  </si>
  <si>
    <t xml:space="preserve">Chance Perez; Michael Conor Smith; Marcus Pendleton</t>
  </si>
  <si>
    <t xml:space="preserve">Never Gone</t>
  </si>
  <si>
    <t xml:space="preserve">The Edge of Glory</t>
  </si>
  <si>
    <t xml:space="preserve">Lady Gaga</t>
  </si>
  <si>
    <t xml:space="preserve">Brady Tutton; Sergio Calderon Jr.; Devin Hayes</t>
  </si>
  <si>
    <t xml:space="preserve">Sergio and Devin bottom two; Devin eliminated</t>
  </si>
  <si>
    <t xml:space="preserve">outcome</t>
  </si>
  <si>
    <t xml:space="preserve">advanced</t>
  </si>
  <si>
    <t xml:space="preserve">advanced_not_yet_performed</t>
  </si>
  <si>
    <t xml:space="preserve">cut_before_groups</t>
  </si>
  <si>
    <t xml:space="preserve">bottom_saved</t>
  </si>
  <si>
    <t xml:space="preserve">member</t>
  </si>
  <si>
    <t xml:space="preserve">legal_name_note</t>
  </si>
  <si>
    <t xml:space="preserve">birth_date</t>
  </si>
  <si>
    <t xml:space="preserve">age_at_finale</t>
  </si>
  <si>
    <t xml:space="preserve">boy_band_audition_song</t>
  </si>
  <si>
    <t xml:space="preserve">irl_role_note</t>
  </si>
  <si>
    <t xml:space="preserve">post_irl_note</t>
  </si>
  <si>
    <t xml:space="preserve">Brady Patrick Tutton</t>
  </si>
  <si>
    <t xml:space="preserve">Trained classical vocalist; actor</t>
  </si>
  <si>
    <t xml:space="preserve">Fresh Off the Boat (Brock, pre-show); lead in 2018 film The Rocket (per Wikipedia)</t>
  </si>
  <si>
    <t xml:space="preserve">Chance Nickolas Perez</t>
  </si>
  <si>
    <t xml:space="preserve">Power Rangers Dino Fury / Cosmic Fury as Javi Garcia (2021-2023); Building the Band 2024 (first eliminated)</t>
  </si>
  <si>
    <t xml:space="preserve">Andrew Luis Ramos</t>
  </si>
  <si>
    <t xml:space="preserve">Breakout: MAXED, Can't Take My Eyes Off You</t>
  </si>
  <si>
    <t xml:space="preserve">No post-IRL release found in sources checked</t>
  </si>
  <si>
    <t xml:space="preserve">Sergio Aguilar Calderon Jr.</t>
  </si>
  <si>
    <t xml:space="preserve">Stand by Me (Prince Royce, English-Spanish)</t>
  </si>
  <si>
    <t xml:space="preserve">Bilingual vocals</t>
  </si>
  <si>
    <t xml:space="preserve">Solo single 'No es Facil' (2020-05-22)</t>
  </si>
  <si>
    <t xml:space="preserve">Conor Michael Smith</t>
  </si>
  <si>
    <t xml:space="preserve">Formerly Michael Conor (until June 2019)</t>
  </si>
  <si>
    <t xml:space="preserve">Shaker Heights, Ohio (show listed Cleveland)</t>
  </si>
  <si>
    <t xml:space="preserve">Rapping violinist; co-writer on Crazy AF</t>
  </si>
  <si>
    <t xml:space="preserve">Solo single 'With You in Mind' (2020-10-27); earlier solo remix/tracks 2019</t>
  </si>
  <si>
    <t xml:space="preserve">type</t>
  </si>
  <si>
    <t xml:space="preserve">release_date</t>
  </si>
  <si>
    <t xml:space="preserve">date_precision</t>
  </si>
  <si>
    <t xml:space="preserve">single_number</t>
  </si>
  <si>
    <t xml:space="preserve">us_mainstream_top40_peak</t>
  </si>
  <si>
    <t xml:space="preserve">confidence</t>
  </si>
  <si>
    <t xml:space="preserve">Eyes Closed</t>
  </si>
  <si>
    <t xml:space="preserve">single</t>
  </si>
  <si>
    <t xml:space="preserve">2017-08-25</t>
  </si>
  <si>
    <t xml:space="preserve">day</t>
  </si>
  <si>
    <t xml:space="preserve">Debut single via Hollywood Records; premiered on Boy Band finale 2017-08-24; acoustic version also released 2017</t>
  </si>
  <si>
    <t xml:space="preserve">Feel This Christmas / I'll Be Home for Christmas</t>
  </si>
  <si>
    <t xml:space="preserve">holiday single</t>
  </si>
  <si>
    <t xml:space="preserve">2017</t>
  </si>
  <si>
    <t xml:space="preserve">year</t>
  </si>
  <si>
    <t xml:space="preserve">Two holiday songs released 2017 (non-album)</t>
  </si>
  <si>
    <t xml:space="preserve">Tattoo (How 'Bout You)</t>
  </si>
  <si>
    <t xml:space="preserve">2018-02</t>
  </si>
  <si>
    <t xml:space="preserve">month</t>
  </si>
  <si>
    <t xml:space="preserve">Described as second single; early Feb 2018 release; music video debuted Feb 14, 2018</t>
  </si>
  <si>
    <t xml:space="preserve">sourced (month precision)</t>
  </si>
  <si>
    <t xml:space="preserve">How Badly</t>
  </si>
  <si>
    <t xml:space="preserve">2018</t>
  </si>
  <si>
    <t xml:space="preserve">Fans previewed unreleased song</t>
  </si>
  <si>
    <t xml:space="preserve">order inferred</t>
  </si>
  <si>
    <t xml:space="preserve">Tonight Belongs to You</t>
  </si>
  <si>
    <t xml:space="preserve">2018-07</t>
  </si>
  <si>
    <t xml:space="preserve">Fourth single; tour named after it</t>
  </si>
  <si>
    <t xml:space="preserve">Got Me Good</t>
  </si>
  <si>
    <t xml:space="preserve">Crazy AF</t>
  </si>
  <si>
    <t xml:space="preserve">2019-03-22</t>
  </si>
  <si>
    <t xml:space="preserve">Sixth single; written by Ayanna Howard, Conor Michael Smith, Marc Bassy, Ryan Williamson</t>
  </si>
  <si>
    <t xml:space="preserve">sourced; chart peak from Wikipedia table</t>
  </si>
  <si>
    <t xml:space="preserve">Somebody Like You</t>
  </si>
  <si>
    <t xml:space="preserve">2019</t>
  </si>
  <si>
    <t xml:space="preserve">Hurt for Long</t>
  </si>
  <si>
    <t xml:space="preserve">She Do</t>
  </si>
  <si>
    <t xml:space="preserve">album</t>
  </si>
  <si>
    <t xml:space="preserve">2019-08-23</t>
  </si>
  <si>
    <t xml:space="preserve">Debut studio album; includes prior singles plus new songs; label Hollywood Records</t>
  </si>
  <si>
    <t xml:space="preserve">She Do (title track)</t>
  </si>
  <si>
    <t xml:space="preserve">album track / video</t>
  </si>
  <si>
    <t xml:space="preserve">Music video</t>
  </si>
  <si>
    <t xml:space="preserve">Don't Go</t>
  </si>
  <si>
    <t xml:space="preserve">English-Spanish; music video premiered via Entertainment Tonight</t>
  </si>
  <si>
    <t xml:space="preserve">California Christmas</t>
  </si>
  <si>
    <t xml:space="preserve">2019-11-29</t>
  </si>
  <si>
    <t xml:space="preserve">Announced for release on this date</t>
  </si>
  <si>
    <t xml:space="preserve">announced date</t>
  </si>
  <si>
    <t xml:space="preserve">date</t>
  </si>
  <si>
    <t xml:space="preserve">category</t>
  </si>
  <si>
    <t xml:space="preserve">event</t>
  </si>
  <si>
    <t xml:space="preserve">detail</t>
  </si>
  <si>
    <t xml:space="preserve">2017-06-09</t>
  </si>
  <si>
    <t xml:space="preserve">show</t>
  </si>
  <si>
    <t xml:space="preserve">30 contestants announced by ABC</t>
  </si>
  <si>
    <t xml:space="preserve">Boy Band premieres on ABC</t>
  </si>
  <si>
    <t xml:space="preserve">Hosted by Rita Ora; architects Nick Carter, Emma Bunton, Timbaland</t>
  </si>
  <si>
    <t xml:space="preserve">Finale: In Real Life formed</t>
  </si>
  <si>
    <t xml:space="preserve">Brady, Chance, Drew, Sergio, Michael win; perform Eyes Closed</t>
  </si>
  <si>
    <t xml:space="preserve">music</t>
  </si>
  <si>
    <t xml:space="preserve">Eyes Closed released</t>
  </si>
  <si>
    <t xml:space="preserve">Hollywood Records</t>
  </si>
  <si>
    <t xml:space="preserve">2017-11-30</t>
  </si>
  <si>
    <t xml:space="preserve">tv</t>
  </si>
  <si>
    <t xml:space="preserve">Total Request Live (MTV)</t>
  </si>
  <si>
    <t xml:space="preserve">Performed Eyes Closed and Tattoo (per performance list)</t>
  </si>
  <si>
    <t xml:space="preserve">2017-12</t>
  </si>
  <si>
    <t xml:space="preserve">Good Morning America debut performance</t>
  </si>
  <si>
    <t xml:space="preserve">Article dated Dec 27, 2017</t>
  </si>
  <si>
    <t xml:space="preserve">2018-02-05</t>
  </si>
  <si>
    <t xml:space="preserve">Live with Kelly and Ryan</t>
  </si>
  <si>
    <t xml:space="preserve">Performed Tattoo from the Bahamas</t>
  </si>
  <si>
    <t xml:space="preserve">2018-02-07</t>
  </si>
  <si>
    <t xml:space="preserve">Jimmy Kimmel Live!</t>
  </si>
  <si>
    <t xml:space="preserve">2018-03-11</t>
  </si>
  <si>
    <t xml:space="preserve">award</t>
  </si>
  <si>
    <t xml:space="preserve">iHeartRadio Music Awards (Best Boy Band nomination)</t>
  </si>
  <si>
    <t xml:space="preserve">2018-04</t>
  </si>
  <si>
    <t xml:space="preserve">Despierta America performance</t>
  </si>
  <si>
    <t xml:space="preserve">2018-05-07</t>
  </si>
  <si>
    <t xml:space="preserve">tour</t>
  </si>
  <si>
    <t xml:space="preserve">American Idol Live! 2018 slot announced</t>
  </si>
  <si>
    <t xml:space="preserve">2018-06-04</t>
  </si>
  <si>
    <t xml:space="preserve">Tonight Belongs to You Tour announced</t>
  </si>
  <si>
    <t xml:space="preserve">15 NA dates at announcement; grew to 27</t>
  </si>
  <si>
    <t xml:space="preserve">2018-07-11</t>
  </si>
  <si>
    <t xml:space="preserve">American Idol Live! 2018 begins (Redding, CA); ends 2018-08-10 St. Louis</t>
  </si>
  <si>
    <t xml:space="preserve">2018-09-09</t>
  </si>
  <si>
    <t xml:space="preserve">Tonight Belongs to You Tour begins (College Park, MD)</t>
  </si>
  <si>
    <t xml:space="preserve">Ends 2018-11-11 Cebu City</t>
  </si>
  <si>
    <t xml:space="preserve">Crazy AF released</t>
  </si>
  <si>
    <t xml:space="preserve">label</t>
  </si>
  <si>
    <t xml:space="preserve">Dropped by Hollywood Records; founded Broke Hero Records</t>
  </si>
  <si>
    <t xml:space="preserve">Exact date not found</t>
  </si>
  <si>
    <t xml:space="preserve">Debut album She Do released</t>
  </si>
  <si>
    <t xml:space="preserve">2019-08-24</t>
  </si>
  <si>
    <t xml:space="preserve">For U Tour announced</t>
  </si>
  <si>
    <t xml:space="preserve">2019-10-02</t>
  </si>
  <si>
    <t xml:space="preserve">For U Tour begins (Cleveland); ends 2019-10-29 Seattle</t>
  </si>
  <si>
    <t xml:space="preserve">14 shows</t>
  </si>
  <si>
    <t xml:space="preserve">California Christmas scheduled</t>
  </si>
  <si>
    <t xml:space="preserve">announced</t>
  </si>
  <si>
    <t xml:space="preserve">2020-01-20</t>
  </si>
  <si>
    <t xml:space="preserve">band</t>
  </si>
  <si>
    <t xml:space="preserve">Group announces split to pursue solo careers</t>
  </si>
  <si>
    <t xml:space="preserve">Statement cited six tours and a charting radio single</t>
  </si>
  <si>
    <t xml:space="preserve">2020-05-22</t>
  </si>
  <si>
    <t xml:space="preserve">solo</t>
  </si>
  <si>
    <t xml:space="preserve">Sergio Calderon Jr. releases 'No es Facil'</t>
  </si>
  <si>
    <t xml:space="preserve">2020-10-27</t>
  </si>
  <si>
    <t xml:space="preserve">Conor Smith releases 'With You in Mind'</t>
  </si>
  <si>
    <t xml:space="preserve">2021</t>
  </si>
  <si>
    <t xml:space="preserve">Chance Perez begins Power Rangers Dino Fury role (through 2023 Cosmic Fury)</t>
  </si>
  <si>
    <t xml:space="preserve">2024</t>
  </si>
  <si>
    <t xml:space="preserve">Chance Perez on Building the Band (first eliminated)</t>
  </si>
  <si>
    <t xml:space="preserve">start_date</t>
  </si>
  <si>
    <t xml:space="preserve">end_date</t>
  </si>
  <si>
    <t xml:space="preserve">region</t>
  </si>
  <si>
    <t xml:space="preserve">dates_count</t>
  </si>
  <si>
    <t xml:space="preserve">support_acts</t>
  </si>
  <si>
    <t xml:space="preserve">American Idol Live! 2018 (supporting slot)</t>
  </si>
  <si>
    <t xml:space="preserve">2018-08-10</t>
  </si>
  <si>
    <t xml:space="preserve">US</t>
  </si>
  <si>
    <t xml:space="preserve">Opened on first half of tour</t>
  </si>
  <si>
    <t xml:space="preserve">Tonight Belongs to You Tour</t>
  </si>
  <si>
    <t xml:space="preserve">2018-11-11</t>
  </si>
  <si>
    <t xml:space="preserve">North America and Asia (incl. Philippines)</t>
  </si>
  <si>
    <t xml:space="preserve">JAGMAC; Spencer Sutherland</t>
  </si>
  <si>
    <t xml:space="preserve">First headlining tour</t>
  </si>
  <si>
    <t xml:space="preserve">For U Tour</t>
  </si>
  <si>
    <t xml:space="preserve">2019-10-29</t>
  </si>
  <si>
    <t xml:space="preserve">North America</t>
  </si>
  <si>
    <t xml:space="preserve">Elle Winter; Asher Angel; Jenna Raine (select dates)</t>
  </si>
  <si>
    <t xml:space="preserve">Supported She Do</t>
  </si>
  <si>
    <t xml:space="preserve">program</t>
  </si>
  <si>
    <t xml:space="preserve">network_or_outlet</t>
  </si>
  <si>
    <t xml:space="preserve">Boy Band</t>
  </si>
  <si>
    <t xml:space="preserve">ABC</t>
  </si>
  <si>
    <t xml:space="preserve">competition</t>
  </si>
  <si>
    <t xml:space="preserve">Season premiere</t>
  </si>
  <si>
    <t xml:space="preserve">Boy Band finale</t>
  </si>
  <si>
    <t xml:space="preserve">performance</t>
  </si>
  <si>
    <t xml:space="preserve">Debut of Eyes Closed</t>
  </si>
  <si>
    <t xml:space="preserve">Total Request Live</t>
  </si>
  <si>
    <t xml:space="preserve">MTV</t>
  </si>
  <si>
    <t xml:space="preserve">Eyes Closed and Tattoo</t>
  </si>
  <si>
    <t xml:space="preserve">Good Morning America</t>
  </si>
  <si>
    <t xml:space="preserve">Debut GMA performance</t>
  </si>
  <si>
    <t xml:space="preserve">Syndicated</t>
  </si>
  <si>
    <t xml:space="preserve">Despierta America</t>
  </si>
  <si>
    <t xml:space="preserve">Univision</t>
  </si>
  <si>
    <t xml:space="preserve">person</t>
  </si>
  <si>
    <t xml:space="preserve">item</t>
  </si>
  <si>
    <t xml:space="preserve">source_note</t>
  </si>
  <si>
    <t xml:space="preserve">No es Facil</t>
  </si>
  <si>
    <t xml:space="preserve">solo single</t>
  </si>
  <si>
    <t xml:space="preserve">Houston Chronicle via Wikipedia</t>
  </si>
  <si>
    <t xml:space="preserve">2019-01</t>
  </si>
  <si>
    <t xml:space="preserve">Remix of Lucky You (Eminem ft. Joyner Lucas)</t>
  </si>
  <si>
    <t xml:space="preserve">solo remix</t>
  </si>
  <si>
    <t xml:space="preserve">Wikipedia</t>
  </si>
  <si>
    <t xml:space="preserve">2019-03</t>
  </si>
  <si>
    <t xml:space="preserve">Do or Die</t>
  </si>
  <si>
    <t xml:space="preserve">solo track</t>
  </si>
  <si>
    <t xml:space="preserve">With You in Mind</t>
  </si>
  <si>
    <t xml:space="preserve">2021 to 2023</t>
  </si>
  <si>
    <t xml:space="preserve">Javi Garcia, Black Ranger, Power Rangers Dino Fury / Cosmic Fury</t>
  </si>
  <si>
    <t xml:space="preserve">acting</t>
  </si>
  <si>
    <t xml:space="preserve">Building the Band (first contestant eliminated)</t>
  </si>
  <si>
    <t xml:space="preserve">Lead role in film The Rocket</t>
  </si>
  <si>
    <t xml:space="preserve">(none found in sources checked)</t>
  </si>
  <si>
    <t xml:space="preserve">Summary (live formulas over the Contestants tab)</t>
  </si>
  <si>
    <t xml:space="preserve">Total contestants</t>
  </si>
  <si>
    <t xml:space="preserve">Made top 18</t>
  </si>
  <si>
    <t xml:space="preserve">Cut in Ep 1 (pre-groups)</t>
  </si>
  <si>
    <t xml:space="preserve">Final 5 (IRL)</t>
  </si>
  <si>
    <t xml:space="preserve">Avg age, IRL members (Wikipedia ages)</t>
  </si>
  <si>
    <t xml:space="preserve">Avg age, all other contestants (Wikipedia ages)</t>
  </si>
  <si>
    <t xml:space="preserve">Avg age, top 18 non-winners</t>
  </si>
  <si>
    <t xml:space="preserve">Total group performances (contestant-appearances)</t>
  </si>
  <si>
    <t xml:space="preserve">Documented bottom placements, IRL members</t>
  </si>
  <si>
    <t xml:space="preserve">Documented bottom placements, everyone else</t>
  </si>
  <si>
    <t xml:space="preserve">Avg US viewers, Ep 1 to 10 (millions)</t>
  </si>
  <si>
    <t xml:space="preserve">Ep 1 to Ep 10 viewer change (millions)</t>
  </si>
  <si>
    <t xml:space="preserve">field</t>
  </si>
  <si>
    <t xml:space="preserve">version_a</t>
  </si>
  <si>
    <t xml:space="preserve">version_b</t>
  </si>
  <si>
    <t xml:space="preserve">how_resolved</t>
  </si>
  <si>
    <t xml:space="preserve">Andrew Butcher hometown</t>
  </si>
  <si>
    <t xml:space="preserve">Greenwood, Indiana (Fandom, ABC57)</t>
  </si>
  <si>
    <t xml:space="preserve">Memphis, Tennessee (Wikipedia)</t>
  </si>
  <si>
    <t xml:space="preserve">Used Greenwood; Memphis kept in hometown_alt</t>
  </si>
  <si>
    <t xml:space="preserve">Zack Taylor hometown</t>
  </si>
  <si>
    <t xml:space="preserve">Kansas City, Missouri (Wikipedia, E! News)</t>
  </si>
  <si>
    <t xml:space="preserve">Kansas City, California (Fandom)</t>
  </si>
  <si>
    <t xml:space="preserve">Used Missouri</t>
  </si>
  <si>
    <t xml:space="preserve">Michael Conor Smith hometown</t>
  </si>
  <si>
    <t xml:space="preserve">Cleveland, Ohio (show listing)</t>
  </si>
  <si>
    <t xml:space="preserve">Shaker Heights, Ohio (Wikipedia, iHeart)</t>
  </si>
  <si>
    <t xml:space="preserve">Both kept</t>
  </si>
  <si>
    <t xml:space="preserve">Contestant ages</t>
  </si>
  <si>
    <t xml:space="preserve">ABC list via Fandom (differs by 1 year for about 8 contestants)</t>
  </si>
  <si>
    <t xml:space="preserve">Both columns kept</t>
  </si>
  <si>
    <t xml:space="preserve">Ep 5 third song</t>
  </si>
  <si>
    <t xml:space="preserve">Can't Take My Eyes Off You (Wikipedia, Fandom)</t>
  </si>
  <si>
    <t xml:space="preserve">Satisfaction (ABC episode blurb)</t>
  </si>
  <si>
    <t xml:space="preserve">Used CTMEOY; Maxed's performance of it is corroborated</t>
  </si>
  <si>
    <t xml:space="preserve">Tour count</t>
  </si>
  <si>
    <t xml:space="preserve">Group's breakup message says six tours</t>
  </si>
  <si>
    <t xml:space="preserve">Only 3 tours/slots documented here</t>
  </si>
  <si>
    <t xml:space="preserve">Dataset lists the 3 found</t>
  </si>
  <si>
    <t xml:space="preserve">source</t>
  </si>
  <si>
    <t xml:space="preserve">url</t>
  </si>
  <si>
    <t xml:space="preserve">Wikipedia: Boy Band (TV series)</t>
  </si>
  <si>
    <t xml:space="preserve">https://en.wikipedia.org/wiki/Boy_Band_(TV_series)</t>
  </si>
  <si>
    <t xml:space="preserve">Wikipedia: In Real Life (band)</t>
  </si>
  <si>
    <t xml:space="preserve">https://en.wikipedia.org/wiki/In_Real_Life_(band)</t>
  </si>
  <si>
    <t xml:space="preserve">In Real Life Fandom: Boy Band</t>
  </si>
  <si>
    <t xml:space="preserve">https://inreallife.fandom.com/wiki/Boy_Band</t>
  </si>
  <si>
    <t xml:space="preserve">In Real Life Fandom: Boy Band/Contestants</t>
  </si>
  <si>
    <t xml:space="preserve">https://inreallife.fandom.com/wiki/Boy_Band/Contestants</t>
  </si>
  <si>
    <t xml:space="preserve">In Real Life Fandom: Boy Band/Performances</t>
  </si>
  <si>
    <t xml:space="preserve">https://inreallife.fandom.com/wiki/Boy_Band/Performances</t>
  </si>
  <si>
    <t xml:space="preserve">Reality TV World recap, Ep 7</t>
  </si>
  <si>
    <t xml:space="preserve">https://www.realitytvworld.com/news/boy-band-recap-andrew-bloom-and-beatboxer-jay-j-hype-gilbert-ousted-america-saves-devin-hayes-22490.php</t>
  </si>
  <si>
    <t xml:space="preserve">ABC57: Indiana contestants</t>
  </si>
  <si>
    <t xml:space="preserve">https://www.abc57.com/news/two-indiana-teens-to-appear-on-abcs-boy-band</t>
  </si>
  <si>
    <t xml:space="preserve">Wikipedia: Tonight Belongs to You Tour / For U Tour</t>
  </si>
  <si>
    <t xml:space="preserve">https://en.wikipedia.org/wiki/For_U_Tour</t>
  </si>
  <si>
    <t xml:space="preserve">Fandom: Tonight Belongs to You Tour</t>
  </si>
  <si>
    <t xml:space="preserve">https://inreallife.fandom.com/wiki/Tonight_Belongs_to_You_Tour</t>
  </si>
  <si>
    <t xml:space="preserve">Just Jared: breakup announcement</t>
  </si>
  <si>
    <t xml:space="preserve">https://www.justjared.com/2020/01/21/boy-band-in-real-life-announce-they-are-breaking-up/</t>
  </si>
  <si>
    <t xml:space="preserve">Entertainment Tonight: Don't Go video</t>
  </si>
  <si>
    <t xml:space="preserve">https://www.etonline.com/in-real-life-debuts-dont-go-music-video-watch-exclusive-132752</t>
  </si>
  <si>
    <t xml:space="preserve">Fandom: Crazy AF</t>
  </si>
  <si>
    <t xml:space="preserve">https://inreallife.fandom.com/wiki/File:IRL_VLOGS_CRAZY_Week</t>
  </si>
  <si>
    <t xml:space="preserve">TheTVDB: Boy Band episodes</t>
  </si>
  <si>
    <t xml:space="preserve">https://www.thetvdb.com/series/boy-band/allseasons/official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</si>
</sst>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7"/>
    <col collapsed="false" customWidth="true" hidden="false" outlineLevel="0" max="7" min="7" style="0" width="20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9"/>
    <col collapsed="false" customWidth="true" hidden="false" outlineLevel="0" max="13" min="13" style="0" width="55"/>
    <col collapsed="false" customWidth="true" hidden="false" outlineLevel="0" max="15" min="14" style="0" width="20"/>
    <col collapsed="false" customWidth="true" hidden="false" outlineLevel="0" max="16" min="16" style="0" width="55"/>
  </cols>
  <sheetData>
    <row r="1" customFormat="false" ht="23.8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n">
        <v>16</v>
      </c>
      <c r="D2" s="2"/>
      <c r="E2" s="2" t="s">
        <v>28</v>
      </c>
      <c r="F2" s="2"/>
      <c r="G2" s="2" t="s">
        <v>29</v>
      </c>
      <c r="H2" s="2"/>
      <c r="I2" s="2" t="s">
        <v>30</v>
      </c>
      <c r="J2" s="2" t="s">
        <v>30</v>
      </c>
      <c r="K2" s="2" t="s">
        <v>30</v>
      </c>
      <c r="L2" s="2" t="s">
        <v>31</v>
      </c>
      <c r="M2" s="2"/>
      <c r="N2" s="2" t="n">
        <v>6</v>
      </c>
      <c r="O2" s="2" t="n">
        <v>1</v>
      </c>
      <c r="P2" s="2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2" t="n">
        <v>15</v>
      </c>
      <c r="D3" s="2"/>
      <c r="E3" s="2" t="s">
        <v>35</v>
      </c>
      <c r="F3" s="2"/>
      <c r="G3" s="2" t="s">
        <v>29</v>
      </c>
      <c r="H3" s="2"/>
      <c r="I3" s="2" t="s">
        <v>30</v>
      </c>
      <c r="J3" s="2" t="s">
        <v>30</v>
      </c>
      <c r="K3" s="2" t="s">
        <v>30</v>
      </c>
      <c r="L3" s="2" t="s">
        <v>36</v>
      </c>
      <c r="M3" s="2" t="s">
        <v>37</v>
      </c>
      <c r="N3" s="2" t="n">
        <v>6</v>
      </c>
      <c r="O3" s="2" t="n">
        <v>0</v>
      </c>
      <c r="P3" s="2" t="s">
        <v>38</v>
      </c>
    </row>
    <row r="4" customFormat="false" ht="23.85" hidden="false" customHeight="false" outlineLevel="0" collapsed="false">
      <c r="A4" s="2" t="s">
        <v>39</v>
      </c>
      <c r="B4" s="2" t="s">
        <v>40</v>
      </c>
      <c r="C4" s="2" t="n">
        <v>18</v>
      </c>
      <c r="D4" s="2"/>
      <c r="E4" s="2" t="s">
        <v>41</v>
      </c>
      <c r="F4" s="2" t="s">
        <v>42</v>
      </c>
      <c r="G4" s="2" t="s">
        <v>29</v>
      </c>
      <c r="H4" s="2"/>
      <c r="I4" s="2" t="s">
        <v>30</v>
      </c>
      <c r="J4" s="2" t="s">
        <v>30</v>
      </c>
      <c r="K4" s="2" t="s">
        <v>30</v>
      </c>
      <c r="L4" s="2" t="s">
        <v>43</v>
      </c>
      <c r="M4" s="2"/>
      <c r="N4" s="2" t="n">
        <v>6</v>
      </c>
      <c r="O4" s="2" t="n">
        <v>0</v>
      </c>
      <c r="P4" s="2" t="s">
        <v>44</v>
      </c>
    </row>
    <row r="5" customFormat="false" ht="15" hidden="false" customHeight="false" outlineLevel="0" collapsed="false">
      <c r="A5" s="2" t="s">
        <v>45</v>
      </c>
      <c r="B5" s="2" t="s">
        <v>46</v>
      </c>
      <c r="C5" s="2" t="n">
        <v>19</v>
      </c>
      <c r="D5" s="2"/>
      <c r="E5" s="2" t="s">
        <v>47</v>
      </c>
      <c r="F5" s="2"/>
      <c r="G5" s="2" t="s">
        <v>29</v>
      </c>
      <c r="H5" s="2"/>
      <c r="I5" s="2" t="s">
        <v>30</v>
      </c>
      <c r="J5" s="2" t="s">
        <v>30</v>
      </c>
      <c r="K5" s="2" t="s">
        <v>30</v>
      </c>
      <c r="L5" s="2" t="s">
        <v>48</v>
      </c>
      <c r="M5" s="2" t="s">
        <v>49</v>
      </c>
      <c r="N5" s="2" t="n">
        <v>6</v>
      </c>
      <c r="O5" s="2" t="n">
        <v>0</v>
      </c>
      <c r="P5" s="2" t="s">
        <v>50</v>
      </c>
    </row>
    <row r="6" customFormat="false" ht="23.85" hidden="false" customHeight="false" outlineLevel="0" collapsed="false">
      <c r="A6" s="2" t="s">
        <v>51</v>
      </c>
      <c r="B6" s="2" t="s">
        <v>52</v>
      </c>
      <c r="C6" s="2" t="n">
        <v>19</v>
      </c>
      <c r="D6" s="2"/>
      <c r="E6" s="2" t="s">
        <v>53</v>
      </c>
      <c r="F6" s="2"/>
      <c r="G6" s="2" t="s">
        <v>29</v>
      </c>
      <c r="H6" s="2"/>
      <c r="I6" s="2" t="s">
        <v>30</v>
      </c>
      <c r="J6" s="2" t="s">
        <v>30</v>
      </c>
      <c r="K6" s="2" t="s">
        <v>30</v>
      </c>
      <c r="L6" s="2" t="s">
        <v>54</v>
      </c>
      <c r="M6" s="2"/>
      <c r="N6" s="2" t="n">
        <v>6</v>
      </c>
      <c r="O6" s="2" t="n">
        <v>0</v>
      </c>
      <c r="P6" s="2" t="s">
        <v>55</v>
      </c>
    </row>
    <row r="7" customFormat="false" ht="15" hidden="false" customHeight="false" outlineLevel="0" collapsed="false">
      <c r="A7" s="2" t="s">
        <v>56</v>
      </c>
      <c r="B7" s="2" t="s">
        <v>57</v>
      </c>
      <c r="C7" s="2" t="n">
        <v>16</v>
      </c>
      <c r="D7" s="2" t="n">
        <v>16</v>
      </c>
      <c r="E7" s="2" t="s">
        <v>58</v>
      </c>
      <c r="F7" s="2"/>
      <c r="G7" s="2" t="s">
        <v>59</v>
      </c>
      <c r="H7" s="2" t="n">
        <v>10</v>
      </c>
      <c r="I7" s="2" t="s">
        <v>30</v>
      </c>
      <c r="J7" s="2" t="s">
        <v>60</v>
      </c>
      <c r="K7" s="2" t="s">
        <v>60</v>
      </c>
      <c r="L7" s="2"/>
      <c r="M7" s="2"/>
      <c r="N7" s="2" t="n">
        <v>6</v>
      </c>
      <c r="O7" s="2" t="n">
        <v>0</v>
      </c>
      <c r="P7" s="2"/>
    </row>
    <row r="8" customFormat="false" ht="15" hidden="false" customHeight="false" outlineLevel="0" collapsed="false">
      <c r="A8" s="2" t="s">
        <v>61</v>
      </c>
      <c r="B8" s="2" t="s">
        <v>62</v>
      </c>
      <c r="C8" s="2" t="n">
        <v>17</v>
      </c>
      <c r="D8" s="2" t="n">
        <v>18</v>
      </c>
      <c r="E8" s="2" t="s">
        <v>63</v>
      </c>
      <c r="F8" s="2"/>
      <c r="G8" s="2" t="s">
        <v>59</v>
      </c>
      <c r="H8" s="2" t="n">
        <v>10</v>
      </c>
      <c r="I8" s="2" t="s">
        <v>30</v>
      </c>
      <c r="J8" s="2" t="s">
        <v>60</v>
      </c>
      <c r="K8" s="2" t="s">
        <v>60</v>
      </c>
      <c r="L8" s="2"/>
      <c r="M8" s="2"/>
      <c r="N8" s="2" t="n">
        <v>6</v>
      </c>
      <c r="O8" s="2" t="n">
        <v>1</v>
      </c>
      <c r="P8" s="2" t="s">
        <v>64</v>
      </c>
    </row>
    <row r="9" customFormat="false" ht="15" hidden="false" customHeight="false" outlineLevel="0" collapsed="false">
      <c r="A9" s="2" t="s">
        <v>65</v>
      </c>
      <c r="B9" s="2" t="s">
        <v>66</v>
      </c>
      <c r="C9" s="2" t="n">
        <v>16</v>
      </c>
      <c r="D9" s="2" t="n">
        <v>17</v>
      </c>
      <c r="E9" s="2" t="s">
        <v>67</v>
      </c>
      <c r="F9" s="2"/>
      <c r="G9" s="2" t="s">
        <v>59</v>
      </c>
      <c r="H9" s="2" t="n">
        <v>10</v>
      </c>
      <c r="I9" s="2" t="s">
        <v>30</v>
      </c>
      <c r="J9" s="2" t="s">
        <v>60</v>
      </c>
      <c r="K9" s="2" t="s">
        <v>60</v>
      </c>
      <c r="L9" s="2"/>
      <c r="M9" s="2"/>
      <c r="N9" s="2" t="n">
        <v>6</v>
      </c>
      <c r="O9" s="2" t="n">
        <v>0</v>
      </c>
      <c r="P9" s="2"/>
    </row>
    <row r="10" customFormat="false" ht="23.85" hidden="false" customHeight="false" outlineLevel="0" collapsed="false">
      <c r="A10" s="2" t="s">
        <v>68</v>
      </c>
      <c r="B10" s="2" t="s">
        <v>69</v>
      </c>
      <c r="C10" s="2" t="n">
        <v>17</v>
      </c>
      <c r="D10" s="2" t="n">
        <v>18</v>
      </c>
      <c r="E10" s="2" t="s">
        <v>70</v>
      </c>
      <c r="F10" s="2"/>
      <c r="G10" s="2" t="s">
        <v>71</v>
      </c>
      <c r="H10" s="2" t="n">
        <v>8</v>
      </c>
      <c r="I10" s="2" t="s">
        <v>30</v>
      </c>
      <c r="J10" s="2" t="s">
        <v>60</v>
      </c>
      <c r="K10" s="2" t="s">
        <v>60</v>
      </c>
      <c r="L10" s="2"/>
      <c r="M10" s="2"/>
      <c r="N10" s="2" t="n">
        <v>6</v>
      </c>
      <c r="O10" s="2" t="n">
        <v>2</v>
      </c>
      <c r="P10" s="2" t="s">
        <v>72</v>
      </c>
    </row>
    <row r="11" customFormat="false" ht="15" hidden="false" customHeight="false" outlineLevel="0" collapsed="false">
      <c r="A11" s="2" t="s">
        <v>73</v>
      </c>
      <c r="B11" s="2" t="s">
        <v>74</v>
      </c>
      <c r="C11" s="2" t="n">
        <v>14</v>
      </c>
      <c r="D11" s="2"/>
      <c r="E11" s="2" t="s">
        <v>75</v>
      </c>
      <c r="F11" s="2"/>
      <c r="G11" s="2" t="s">
        <v>71</v>
      </c>
      <c r="H11" s="2" t="n">
        <v>7</v>
      </c>
      <c r="I11" s="2" t="s">
        <v>30</v>
      </c>
      <c r="J11" s="2" t="s">
        <v>60</v>
      </c>
      <c r="K11" s="2" t="s">
        <v>60</v>
      </c>
      <c r="L11" s="2"/>
      <c r="M11" s="2"/>
      <c r="N11" s="2" t="n">
        <v>5</v>
      </c>
      <c r="O11" s="2" t="n">
        <v>1</v>
      </c>
      <c r="P11" s="2" t="s">
        <v>76</v>
      </c>
    </row>
    <row r="12" customFormat="false" ht="15" hidden="false" customHeight="false" outlineLevel="0" collapsed="false">
      <c r="A12" s="2" t="s">
        <v>77</v>
      </c>
      <c r="B12" s="2" t="s">
        <v>78</v>
      </c>
      <c r="C12" s="2" t="n">
        <v>19</v>
      </c>
      <c r="D12" s="2" t="n">
        <v>20</v>
      </c>
      <c r="E12" s="2" t="s">
        <v>79</v>
      </c>
      <c r="F12" s="2"/>
      <c r="G12" s="2" t="s">
        <v>71</v>
      </c>
      <c r="H12" s="2" t="n">
        <v>7</v>
      </c>
      <c r="I12" s="2" t="s">
        <v>30</v>
      </c>
      <c r="J12" s="2" t="s">
        <v>60</v>
      </c>
      <c r="K12" s="2" t="s">
        <v>60</v>
      </c>
      <c r="L12" s="2"/>
      <c r="M12" s="2" t="s">
        <v>80</v>
      </c>
      <c r="N12" s="2" t="n">
        <v>5</v>
      </c>
      <c r="O12" s="2" t="n">
        <v>2</v>
      </c>
      <c r="P12" s="2" t="s">
        <v>81</v>
      </c>
    </row>
    <row r="13" customFormat="false" ht="15" hidden="false" customHeight="false" outlineLevel="0" collapsed="false">
      <c r="A13" s="2" t="s">
        <v>82</v>
      </c>
      <c r="B13" s="2" t="s">
        <v>83</v>
      </c>
      <c r="C13" s="2" t="n">
        <v>19</v>
      </c>
      <c r="D13" s="2" t="n">
        <v>19</v>
      </c>
      <c r="E13" s="2" t="s">
        <v>84</v>
      </c>
      <c r="F13" s="2"/>
      <c r="G13" s="2" t="s">
        <v>71</v>
      </c>
      <c r="H13" s="2" t="n">
        <v>6</v>
      </c>
      <c r="I13" s="2" t="s">
        <v>30</v>
      </c>
      <c r="J13" s="2" t="s">
        <v>60</v>
      </c>
      <c r="K13" s="2" t="s">
        <v>60</v>
      </c>
      <c r="L13" s="2"/>
      <c r="M13" s="2"/>
      <c r="N13" s="2" t="n">
        <v>4</v>
      </c>
      <c r="O13" s="2" t="n">
        <v>1</v>
      </c>
      <c r="P13" s="2" t="s">
        <v>85</v>
      </c>
    </row>
    <row r="14" customFormat="false" ht="15" hidden="false" customHeight="false" outlineLevel="0" collapsed="false">
      <c r="A14" s="2" t="s">
        <v>86</v>
      </c>
      <c r="B14" s="2" t="s">
        <v>87</v>
      </c>
      <c r="C14" s="2" t="n">
        <v>17</v>
      </c>
      <c r="D14" s="2" t="n">
        <v>17</v>
      </c>
      <c r="E14" s="2" t="s">
        <v>88</v>
      </c>
      <c r="F14" s="2" t="s">
        <v>89</v>
      </c>
      <c r="G14" s="2" t="s">
        <v>71</v>
      </c>
      <c r="H14" s="2" t="n">
        <v>6</v>
      </c>
      <c r="I14" s="2" t="s">
        <v>30</v>
      </c>
      <c r="J14" s="2" t="s">
        <v>60</v>
      </c>
      <c r="K14" s="2" t="s">
        <v>60</v>
      </c>
      <c r="L14" s="2"/>
      <c r="M14" s="2"/>
      <c r="N14" s="2" t="n">
        <v>4</v>
      </c>
      <c r="O14" s="2" t="n">
        <v>1</v>
      </c>
      <c r="P14" s="2" t="s">
        <v>90</v>
      </c>
    </row>
    <row r="15" customFormat="false" ht="15" hidden="false" customHeight="false" outlineLevel="0" collapsed="false">
      <c r="A15" s="2" t="s">
        <v>91</v>
      </c>
      <c r="B15" s="2" t="s">
        <v>92</v>
      </c>
      <c r="C15" s="2" t="n">
        <v>15</v>
      </c>
      <c r="D15" s="2" t="n">
        <v>16</v>
      </c>
      <c r="E15" s="2" t="s">
        <v>89</v>
      </c>
      <c r="F15" s="2"/>
      <c r="G15" s="2" t="s">
        <v>71</v>
      </c>
      <c r="H15" s="2" t="n">
        <v>5</v>
      </c>
      <c r="I15" s="2" t="s">
        <v>30</v>
      </c>
      <c r="J15" s="2" t="s">
        <v>60</v>
      </c>
      <c r="K15" s="2" t="s">
        <v>60</v>
      </c>
      <c r="L15" s="2"/>
      <c r="M15" s="2"/>
      <c r="N15" s="2" t="n">
        <v>3</v>
      </c>
      <c r="O15" s="2" t="n">
        <v>1</v>
      </c>
      <c r="P15" s="2"/>
    </row>
    <row r="16" customFormat="false" ht="23.85" hidden="false" customHeight="false" outlineLevel="0" collapsed="false">
      <c r="A16" s="2" t="s">
        <v>93</v>
      </c>
      <c r="B16" s="2" t="s">
        <v>94</v>
      </c>
      <c r="C16" s="2" t="n">
        <v>20</v>
      </c>
      <c r="D16" s="2" t="n">
        <v>19</v>
      </c>
      <c r="E16" s="2" t="s">
        <v>95</v>
      </c>
      <c r="F16" s="2"/>
      <c r="G16" s="2" t="s">
        <v>71</v>
      </c>
      <c r="H16" s="2" t="n">
        <v>4</v>
      </c>
      <c r="I16" s="2" t="s">
        <v>30</v>
      </c>
      <c r="J16" s="2" t="s">
        <v>60</v>
      </c>
      <c r="K16" s="2" t="s">
        <v>60</v>
      </c>
      <c r="L16" s="2"/>
      <c r="M16" s="2"/>
      <c r="N16" s="2" t="n">
        <v>2</v>
      </c>
      <c r="O16" s="2" t="n">
        <v>1</v>
      </c>
      <c r="P16" s="2" t="s">
        <v>96</v>
      </c>
    </row>
    <row r="17" customFormat="false" ht="15" hidden="false" customHeight="false" outlineLevel="0" collapsed="false">
      <c r="A17" s="2" t="s">
        <v>97</v>
      </c>
      <c r="B17" s="2" t="s">
        <v>98</v>
      </c>
      <c r="C17" s="2" t="n">
        <v>18</v>
      </c>
      <c r="D17" s="2" t="n">
        <v>18</v>
      </c>
      <c r="E17" s="2" t="s">
        <v>99</v>
      </c>
      <c r="F17" s="2"/>
      <c r="G17" s="2" t="s">
        <v>71</v>
      </c>
      <c r="H17" s="2" t="n">
        <v>3</v>
      </c>
      <c r="I17" s="2" t="s">
        <v>30</v>
      </c>
      <c r="J17" s="2" t="s">
        <v>60</v>
      </c>
      <c r="K17" s="2" t="s">
        <v>60</v>
      </c>
      <c r="L17" s="2"/>
      <c r="M17" s="2"/>
      <c r="N17" s="2" t="n">
        <v>1</v>
      </c>
      <c r="O17" s="2" t="n">
        <v>1</v>
      </c>
      <c r="P17" s="2" t="s">
        <v>100</v>
      </c>
    </row>
    <row r="18" customFormat="false" ht="23.85" hidden="false" customHeight="false" outlineLevel="0" collapsed="false">
      <c r="A18" s="2" t="s">
        <v>101</v>
      </c>
      <c r="B18" s="2" t="s">
        <v>102</v>
      </c>
      <c r="C18" s="2" t="n">
        <v>19</v>
      </c>
      <c r="D18" s="2" t="n">
        <v>19</v>
      </c>
      <c r="E18" s="2" t="s">
        <v>88</v>
      </c>
      <c r="F18" s="2"/>
      <c r="G18" s="2" t="s">
        <v>71</v>
      </c>
      <c r="H18" s="2" t="n">
        <v>2</v>
      </c>
      <c r="I18" s="2" t="s">
        <v>30</v>
      </c>
      <c r="J18" s="2" t="s">
        <v>60</v>
      </c>
      <c r="K18" s="2" t="s">
        <v>60</v>
      </c>
      <c r="L18" s="2"/>
      <c r="M18" s="2" t="s">
        <v>103</v>
      </c>
      <c r="N18" s="2" t="n">
        <v>1</v>
      </c>
      <c r="O18" s="2" t="n">
        <v>1</v>
      </c>
      <c r="P18" s="2"/>
    </row>
    <row r="19" customFormat="false" ht="15" hidden="false" customHeight="false" outlineLevel="0" collapsed="false">
      <c r="A19" s="2" t="s">
        <v>104</v>
      </c>
      <c r="B19" s="2" t="s">
        <v>105</v>
      </c>
      <c r="C19" s="2" t="n">
        <v>22</v>
      </c>
      <c r="D19" s="2" t="n">
        <v>22</v>
      </c>
      <c r="E19" s="2" t="s">
        <v>106</v>
      </c>
      <c r="F19" s="2"/>
      <c r="G19" s="2" t="s">
        <v>71</v>
      </c>
      <c r="H19" s="2" t="n">
        <v>1</v>
      </c>
      <c r="I19" s="2" t="s">
        <v>30</v>
      </c>
      <c r="J19" s="2" t="s">
        <v>60</v>
      </c>
      <c r="K19" s="2" t="s">
        <v>60</v>
      </c>
      <c r="L19" s="2"/>
      <c r="M19" s="2" t="s">
        <v>107</v>
      </c>
      <c r="N19" s="2" t="n">
        <v>1</v>
      </c>
      <c r="O19" s="2" t="n">
        <v>1</v>
      </c>
      <c r="P19" s="2" t="s">
        <v>108</v>
      </c>
    </row>
    <row r="20" customFormat="false" ht="15" hidden="false" customHeight="false" outlineLevel="0" collapsed="false">
      <c r="A20" s="2" t="s">
        <v>109</v>
      </c>
      <c r="B20" s="2" t="s">
        <v>110</v>
      </c>
      <c r="C20" s="2" t="n">
        <v>19</v>
      </c>
      <c r="D20" s="2" t="n">
        <v>18</v>
      </c>
      <c r="E20" s="2" t="s">
        <v>111</v>
      </c>
      <c r="F20" s="2"/>
      <c r="G20" s="2" t="s">
        <v>112</v>
      </c>
      <c r="H20" s="2" t="n">
        <v>1</v>
      </c>
      <c r="I20" s="2" t="s">
        <v>60</v>
      </c>
      <c r="J20" s="2" t="s">
        <v>60</v>
      </c>
      <c r="K20" s="2" t="s">
        <v>60</v>
      </c>
      <c r="L20" s="2"/>
      <c r="M20" s="2"/>
      <c r="N20" s="2" t="n">
        <v>0</v>
      </c>
      <c r="O20" s="2" t="n">
        <v>0</v>
      </c>
      <c r="P20" s="2"/>
    </row>
    <row r="21" customFormat="false" ht="15" hidden="false" customHeight="false" outlineLevel="0" collapsed="false">
      <c r="A21" s="2" t="s">
        <v>113</v>
      </c>
      <c r="B21" s="2" t="s">
        <v>114</v>
      </c>
      <c r="C21" s="2" t="n">
        <v>16</v>
      </c>
      <c r="D21" s="2" t="n">
        <v>16</v>
      </c>
      <c r="E21" s="2" t="s">
        <v>75</v>
      </c>
      <c r="F21" s="2"/>
      <c r="G21" s="2" t="s">
        <v>112</v>
      </c>
      <c r="H21" s="2" t="n">
        <v>1</v>
      </c>
      <c r="I21" s="2" t="s">
        <v>60</v>
      </c>
      <c r="J21" s="2" t="s">
        <v>60</v>
      </c>
      <c r="K21" s="2" t="s">
        <v>60</v>
      </c>
      <c r="L21" s="2"/>
      <c r="M21" s="2"/>
      <c r="N21" s="2" t="n">
        <v>0</v>
      </c>
      <c r="O21" s="2" t="n">
        <v>0</v>
      </c>
      <c r="P21" s="2" t="s">
        <v>115</v>
      </c>
    </row>
    <row r="22" customFormat="false" ht="15" hidden="false" customHeight="false" outlineLevel="0" collapsed="false">
      <c r="A22" s="2" t="s">
        <v>116</v>
      </c>
      <c r="B22" s="2" t="s">
        <v>117</v>
      </c>
      <c r="C22" s="2" t="n">
        <v>18</v>
      </c>
      <c r="D22" s="2" t="n">
        <v>18</v>
      </c>
      <c r="E22" s="2" t="s">
        <v>75</v>
      </c>
      <c r="F22" s="2"/>
      <c r="G22" s="2" t="s">
        <v>112</v>
      </c>
      <c r="H22" s="2" t="n">
        <v>1</v>
      </c>
      <c r="I22" s="2" t="s">
        <v>60</v>
      </c>
      <c r="J22" s="2" t="s">
        <v>60</v>
      </c>
      <c r="K22" s="2" t="s">
        <v>60</v>
      </c>
      <c r="L22" s="2"/>
      <c r="M22" s="2"/>
      <c r="N22" s="2" t="n">
        <v>0</v>
      </c>
      <c r="O22" s="2" t="n">
        <v>0</v>
      </c>
      <c r="P22" s="2"/>
    </row>
    <row r="23" customFormat="false" ht="15" hidden="false" customHeight="false" outlineLevel="0" collapsed="false">
      <c r="A23" s="2" t="s">
        <v>118</v>
      </c>
      <c r="B23" s="2" t="s">
        <v>119</v>
      </c>
      <c r="C23" s="2" t="n">
        <v>19</v>
      </c>
      <c r="D23" s="2" t="n">
        <v>19</v>
      </c>
      <c r="E23" s="2" t="s">
        <v>120</v>
      </c>
      <c r="F23" s="2"/>
      <c r="G23" s="2" t="s">
        <v>112</v>
      </c>
      <c r="H23" s="2" t="n">
        <v>1</v>
      </c>
      <c r="I23" s="2" t="s">
        <v>60</v>
      </c>
      <c r="J23" s="2" t="s">
        <v>60</v>
      </c>
      <c r="K23" s="2" t="s">
        <v>60</v>
      </c>
      <c r="L23" s="2"/>
      <c r="M23" s="2"/>
      <c r="N23" s="2" t="n">
        <v>0</v>
      </c>
      <c r="O23" s="2" t="n">
        <v>0</v>
      </c>
      <c r="P23" s="2"/>
    </row>
    <row r="24" customFormat="false" ht="15" hidden="false" customHeight="false" outlineLevel="0" collapsed="false">
      <c r="A24" s="2" t="s">
        <v>121</v>
      </c>
      <c r="B24" s="2" t="s">
        <v>122</v>
      </c>
      <c r="C24" s="2" t="n">
        <v>22</v>
      </c>
      <c r="D24" s="2" t="n">
        <v>22</v>
      </c>
      <c r="E24" s="2" t="s">
        <v>123</v>
      </c>
      <c r="F24" s="2"/>
      <c r="G24" s="2" t="s">
        <v>112</v>
      </c>
      <c r="H24" s="2" t="n">
        <v>1</v>
      </c>
      <c r="I24" s="2" t="s">
        <v>60</v>
      </c>
      <c r="J24" s="2" t="s">
        <v>60</v>
      </c>
      <c r="K24" s="2" t="s">
        <v>60</v>
      </c>
      <c r="L24" s="2"/>
      <c r="M24" s="2"/>
      <c r="N24" s="2" t="n">
        <v>0</v>
      </c>
      <c r="O24" s="2" t="n">
        <v>0</v>
      </c>
      <c r="P24" s="2"/>
    </row>
    <row r="25" customFormat="false" ht="15" hidden="false" customHeight="false" outlineLevel="0" collapsed="false">
      <c r="A25" s="2" t="s">
        <v>124</v>
      </c>
      <c r="B25" s="2" t="s">
        <v>125</v>
      </c>
      <c r="C25" s="2" t="n">
        <v>15</v>
      </c>
      <c r="D25" s="2" t="n">
        <v>15</v>
      </c>
      <c r="E25" s="2" t="s">
        <v>126</v>
      </c>
      <c r="F25" s="2"/>
      <c r="G25" s="2" t="s">
        <v>112</v>
      </c>
      <c r="H25" s="2" t="n">
        <v>1</v>
      </c>
      <c r="I25" s="2" t="s">
        <v>60</v>
      </c>
      <c r="J25" s="2" t="s">
        <v>60</v>
      </c>
      <c r="K25" s="2" t="s">
        <v>60</v>
      </c>
      <c r="L25" s="2"/>
      <c r="M25" s="2"/>
      <c r="N25" s="2" t="n">
        <v>0</v>
      </c>
      <c r="O25" s="2" t="n">
        <v>0</v>
      </c>
      <c r="P25" s="2"/>
    </row>
    <row r="26" customFormat="false" ht="15" hidden="false" customHeight="false" outlineLevel="0" collapsed="false">
      <c r="A26" s="2" t="s">
        <v>127</v>
      </c>
      <c r="B26" s="2" t="s">
        <v>128</v>
      </c>
      <c r="C26" s="2" t="n">
        <v>18</v>
      </c>
      <c r="D26" s="2" t="n">
        <v>18</v>
      </c>
      <c r="E26" s="2" t="s">
        <v>129</v>
      </c>
      <c r="F26" s="2"/>
      <c r="G26" s="2" t="s">
        <v>112</v>
      </c>
      <c r="H26" s="2" t="n">
        <v>1</v>
      </c>
      <c r="I26" s="2" t="s">
        <v>60</v>
      </c>
      <c r="J26" s="2" t="s">
        <v>60</v>
      </c>
      <c r="K26" s="2" t="s">
        <v>60</v>
      </c>
      <c r="L26" s="2"/>
      <c r="M26" s="2" t="s">
        <v>130</v>
      </c>
      <c r="N26" s="2" t="n">
        <v>0</v>
      </c>
      <c r="O26" s="2" t="n">
        <v>0</v>
      </c>
      <c r="P26" s="2"/>
    </row>
    <row r="27" customFormat="false" ht="15" hidden="false" customHeight="false" outlineLevel="0" collapsed="false">
      <c r="A27" s="2" t="s">
        <v>131</v>
      </c>
      <c r="B27" s="2" t="s">
        <v>132</v>
      </c>
      <c r="C27" s="2" t="n">
        <v>17</v>
      </c>
      <c r="D27" s="2" t="n">
        <v>17</v>
      </c>
      <c r="E27" s="2" t="s">
        <v>133</v>
      </c>
      <c r="F27" s="2"/>
      <c r="G27" s="2" t="s">
        <v>112</v>
      </c>
      <c r="H27" s="2" t="n">
        <v>1</v>
      </c>
      <c r="I27" s="2" t="s">
        <v>60</v>
      </c>
      <c r="J27" s="2" t="s">
        <v>60</v>
      </c>
      <c r="K27" s="2" t="s">
        <v>60</v>
      </c>
      <c r="L27" s="2"/>
      <c r="M27" s="2"/>
      <c r="N27" s="2" t="n">
        <v>0</v>
      </c>
      <c r="O27" s="2" t="n">
        <v>0</v>
      </c>
      <c r="P27" s="2"/>
    </row>
    <row r="28" customFormat="false" ht="15" hidden="false" customHeight="false" outlineLevel="0" collapsed="false">
      <c r="A28" s="2" t="s">
        <v>134</v>
      </c>
      <c r="B28" s="2" t="s">
        <v>135</v>
      </c>
      <c r="C28" s="2" t="n">
        <v>24</v>
      </c>
      <c r="D28" s="2" t="n">
        <v>24</v>
      </c>
      <c r="E28" s="2" t="s">
        <v>136</v>
      </c>
      <c r="F28" s="2" t="s">
        <v>137</v>
      </c>
      <c r="G28" s="2" t="s">
        <v>112</v>
      </c>
      <c r="H28" s="2" t="n">
        <v>1</v>
      </c>
      <c r="I28" s="2" t="s">
        <v>60</v>
      </c>
      <c r="J28" s="2" t="s">
        <v>60</v>
      </c>
      <c r="K28" s="2" t="s">
        <v>60</v>
      </c>
      <c r="L28" s="2"/>
      <c r="M28" s="2" t="s">
        <v>138</v>
      </c>
      <c r="N28" s="2" t="n">
        <v>0</v>
      </c>
      <c r="O28" s="2" t="n">
        <v>0</v>
      </c>
      <c r="P28" s="2"/>
    </row>
    <row r="29" customFormat="false" ht="15" hidden="false" customHeight="false" outlineLevel="0" collapsed="false">
      <c r="A29" s="2" t="s">
        <v>139</v>
      </c>
      <c r="B29" s="2" t="s">
        <v>140</v>
      </c>
      <c r="C29" s="2" t="n">
        <v>17</v>
      </c>
      <c r="D29" s="2" t="n">
        <v>17</v>
      </c>
      <c r="E29" s="2" t="s">
        <v>141</v>
      </c>
      <c r="F29" s="2"/>
      <c r="G29" s="2" t="s">
        <v>112</v>
      </c>
      <c r="H29" s="2" t="n">
        <v>1</v>
      </c>
      <c r="I29" s="2" t="s">
        <v>60</v>
      </c>
      <c r="J29" s="2" t="s">
        <v>60</v>
      </c>
      <c r="K29" s="2" t="s">
        <v>60</v>
      </c>
      <c r="L29" s="2"/>
      <c r="M29" s="2" t="s">
        <v>130</v>
      </c>
      <c r="N29" s="2" t="n">
        <v>0</v>
      </c>
      <c r="O29" s="2" t="n">
        <v>0</v>
      </c>
      <c r="P29" s="2"/>
    </row>
    <row r="30" customFormat="false" ht="15" hidden="false" customHeight="false" outlineLevel="0" collapsed="false">
      <c r="A30" s="2" t="s">
        <v>142</v>
      </c>
      <c r="B30" s="2" t="s">
        <v>143</v>
      </c>
      <c r="C30" s="2" t="n">
        <v>21</v>
      </c>
      <c r="D30" s="2" t="n">
        <v>21</v>
      </c>
      <c r="E30" s="2" t="s">
        <v>144</v>
      </c>
      <c r="F30" s="2"/>
      <c r="G30" s="2" t="s">
        <v>112</v>
      </c>
      <c r="H30" s="2" t="n">
        <v>1</v>
      </c>
      <c r="I30" s="2" t="s">
        <v>60</v>
      </c>
      <c r="J30" s="2" t="s">
        <v>60</v>
      </c>
      <c r="K30" s="2" t="s">
        <v>60</v>
      </c>
      <c r="L30" s="2"/>
      <c r="M30" s="2"/>
      <c r="N30" s="2" t="n">
        <v>0</v>
      </c>
      <c r="O30" s="2" t="n">
        <v>0</v>
      </c>
      <c r="P30" s="2"/>
    </row>
    <row r="31" customFormat="false" ht="15" hidden="false" customHeight="false" outlineLevel="0" collapsed="false">
      <c r="A31" s="2" t="s">
        <v>145</v>
      </c>
      <c r="B31" s="2" t="s">
        <v>146</v>
      </c>
      <c r="C31" s="2" t="n">
        <v>20</v>
      </c>
      <c r="D31" s="2" t="n">
        <v>20</v>
      </c>
      <c r="E31" s="2" t="s">
        <v>147</v>
      </c>
      <c r="F31" s="2"/>
      <c r="G31" s="2" t="s">
        <v>112</v>
      </c>
      <c r="H31" s="2" t="n">
        <v>1</v>
      </c>
      <c r="I31" s="2" t="s">
        <v>60</v>
      </c>
      <c r="J31" s="2" t="s">
        <v>60</v>
      </c>
      <c r="K31" s="2" t="s">
        <v>60</v>
      </c>
      <c r="L31" s="2"/>
      <c r="M31" s="2"/>
      <c r="N31" s="2" t="n">
        <v>0</v>
      </c>
      <c r="O31" s="2" t="n">
        <v>0</v>
      </c>
      <c r="P31" s="2"/>
    </row>
  </sheetData>
  <autoFilter ref="A1:P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6" min="6" style="0" width="29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  <c r="G1" s="4" t="s">
        <v>154</v>
      </c>
    </row>
    <row r="2" customFormat="false" ht="23.85" hidden="false" customHeight="false" outlineLevel="0" collapsed="false">
      <c r="A2" s="2" t="n">
        <v>1</v>
      </c>
      <c r="B2" s="2" t="s">
        <v>155</v>
      </c>
      <c r="C2" s="2" t="s">
        <v>156</v>
      </c>
      <c r="D2" s="2" t="n">
        <v>101</v>
      </c>
      <c r="E2" s="2" t="n">
        <v>2.995</v>
      </c>
      <c r="F2" s="2" t="n">
        <v>17</v>
      </c>
      <c r="G2" s="2" t="s">
        <v>157</v>
      </c>
    </row>
    <row r="3" customFormat="false" ht="15" hidden="false" customHeight="false" outlineLevel="0" collapsed="false">
      <c r="A3" s="2" t="n">
        <v>2</v>
      </c>
      <c r="B3" s="2" t="s">
        <v>158</v>
      </c>
      <c r="C3" s="2" t="s">
        <v>159</v>
      </c>
      <c r="D3" s="2" t="n">
        <v>102</v>
      </c>
      <c r="E3" s="2" t="n">
        <v>2.645</v>
      </c>
      <c r="F3" s="2" t="n">
        <v>16</v>
      </c>
      <c r="G3" s="2" t="s">
        <v>160</v>
      </c>
    </row>
    <row r="4" customFormat="false" ht="15" hidden="false" customHeight="false" outlineLevel="0" collapsed="false">
      <c r="A4" s="2" t="n">
        <v>3</v>
      </c>
      <c r="B4" s="2" t="s">
        <v>161</v>
      </c>
      <c r="C4" s="2" t="s">
        <v>162</v>
      </c>
      <c r="D4" s="2" t="n">
        <v>103</v>
      </c>
      <c r="E4" s="2" t="n">
        <v>2.729</v>
      </c>
      <c r="F4" s="2" t="n">
        <v>15</v>
      </c>
      <c r="G4" s="2" t="s">
        <v>163</v>
      </c>
    </row>
    <row r="5" customFormat="false" ht="23.85" hidden="false" customHeight="false" outlineLevel="0" collapsed="false">
      <c r="A5" s="2" t="n">
        <v>4</v>
      </c>
      <c r="B5" s="2" t="s">
        <v>164</v>
      </c>
      <c r="C5" s="2" t="s">
        <v>165</v>
      </c>
      <c r="D5" s="2" t="n">
        <v>104</v>
      </c>
      <c r="E5" s="2" t="n">
        <v>2.441</v>
      </c>
      <c r="F5" s="2" t="n">
        <v>14</v>
      </c>
      <c r="G5" s="2" t="s">
        <v>166</v>
      </c>
    </row>
    <row r="6" customFormat="false" ht="15" hidden="false" customHeight="false" outlineLevel="0" collapsed="false">
      <c r="A6" s="2" t="n">
        <v>5</v>
      </c>
      <c r="B6" s="2" t="s">
        <v>167</v>
      </c>
      <c r="C6" s="2" t="s">
        <v>168</v>
      </c>
      <c r="D6" s="2" t="n">
        <v>105</v>
      </c>
      <c r="E6" s="2" t="n">
        <v>2.236</v>
      </c>
      <c r="F6" s="2" t="n">
        <v>13</v>
      </c>
      <c r="G6" s="2" t="s">
        <v>169</v>
      </c>
    </row>
    <row r="7" customFormat="false" ht="15" hidden="false" customHeight="false" outlineLevel="0" collapsed="false">
      <c r="A7" s="2" t="n">
        <v>6</v>
      </c>
      <c r="B7" s="2" t="s">
        <v>170</v>
      </c>
      <c r="C7" s="2" t="s">
        <v>171</v>
      </c>
      <c r="D7" s="2" t="n">
        <v>106</v>
      </c>
      <c r="E7" s="2" t="n">
        <v>2.388</v>
      </c>
      <c r="F7" s="2" t="n">
        <v>11</v>
      </c>
      <c r="G7" s="2" t="s">
        <v>172</v>
      </c>
    </row>
    <row r="8" customFormat="false" ht="15" hidden="false" customHeight="false" outlineLevel="0" collapsed="false">
      <c r="A8" s="2" t="n">
        <v>7</v>
      </c>
      <c r="B8" s="2" t="s">
        <v>173</v>
      </c>
      <c r="C8" s="2" t="s">
        <v>174</v>
      </c>
      <c r="D8" s="2" t="n">
        <v>107</v>
      </c>
      <c r="E8" s="2" t="n">
        <v>2.312</v>
      </c>
      <c r="F8" s="2" t="n">
        <v>9</v>
      </c>
      <c r="G8" s="2" t="s">
        <v>175</v>
      </c>
    </row>
    <row r="9" customFormat="false" ht="15" hidden="false" customHeight="false" outlineLevel="0" collapsed="false">
      <c r="A9" s="2" t="n">
        <v>8</v>
      </c>
      <c r="B9" s="2" t="s">
        <v>176</v>
      </c>
      <c r="C9" s="2" t="s">
        <v>177</v>
      </c>
      <c r="D9" s="2" t="n">
        <v>108</v>
      </c>
      <c r="E9" s="2" t="n">
        <v>2.302</v>
      </c>
      <c r="F9" s="2" t="n">
        <v>8</v>
      </c>
      <c r="G9" s="2" t="s">
        <v>178</v>
      </c>
    </row>
    <row r="10" customFormat="false" ht="15" hidden="false" customHeight="false" outlineLevel="0" collapsed="false">
      <c r="A10" s="2" t="n">
        <v>9</v>
      </c>
      <c r="B10" s="2" t="s">
        <v>179</v>
      </c>
      <c r="C10" s="2" t="s">
        <v>180</v>
      </c>
      <c r="D10" s="2" t="n">
        <v>109</v>
      </c>
      <c r="E10" s="2" t="n">
        <v>2.134</v>
      </c>
      <c r="F10" s="2" t="n">
        <v>8</v>
      </c>
      <c r="G10" s="2" t="s">
        <v>181</v>
      </c>
    </row>
    <row r="11" customFormat="false" ht="23.85" hidden="false" customHeight="false" outlineLevel="0" collapsed="false">
      <c r="A11" s="2" t="n">
        <v>10</v>
      </c>
      <c r="B11" s="2" t="s">
        <v>182</v>
      </c>
      <c r="C11" s="2" t="s">
        <v>183</v>
      </c>
      <c r="D11" s="2" t="n">
        <v>110</v>
      </c>
      <c r="E11" s="2" t="n">
        <v>2.399</v>
      </c>
      <c r="F11" s="2" t="n">
        <v>5</v>
      </c>
      <c r="G11" s="2" t="s">
        <v>184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3"/>
    <col collapsed="false" customWidth="true" hidden="false" outlineLevel="0" max="4" min="4" style="0" width="37"/>
    <col collapsed="false" customWidth="true" hidden="false" outlineLevel="0" max="5" min="5" style="0" width="55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47"/>
  </cols>
  <sheetData>
    <row r="1" customFormat="false" ht="23.85" hidden="false" customHeight="false" outlineLevel="0" collapsed="false">
      <c r="A1" s="4" t="s">
        <v>148</v>
      </c>
      <c r="B1" s="4" t="s">
        <v>185</v>
      </c>
      <c r="C1" s="4" t="s">
        <v>186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</row>
    <row r="2" customFormat="false" ht="23.85" hidden="false" customHeight="false" outlineLevel="0" collapsed="false">
      <c r="A2" s="2" t="n">
        <v>1</v>
      </c>
      <c r="B2" s="2" t="s">
        <v>192</v>
      </c>
      <c r="C2" s="2" t="s">
        <v>193</v>
      </c>
      <c r="D2" s="2" t="s">
        <v>194</v>
      </c>
      <c r="E2" s="2" t="s">
        <v>195</v>
      </c>
      <c r="F2" s="2" t="n">
        <v>6</v>
      </c>
      <c r="G2" s="2" t="s">
        <v>196</v>
      </c>
      <c r="H2" s="2" t="s">
        <v>197</v>
      </c>
    </row>
    <row r="3" customFormat="false" ht="23.85" hidden="false" customHeight="false" outlineLevel="0" collapsed="false">
      <c r="A3" s="2" t="n">
        <v>2</v>
      </c>
      <c r="B3" s="2" t="s">
        <v>198</v>
      </c>
      <c r="C3" s="2" t="s">
        <v>199</v>
      </c>
      <c r="D3" s="2"/>
      <c r="E3" s="2" t="s">
        <v>200</v>
      </c>
      <c r="F3" s="2" t="n">
        <v>6</v>
      </c>
      <c r="G3" s="2" t="s">
        <v>196</v>
      </c>
      <c r="H3" s="2" t="s">
        <v>201</v>
      </c>
    </row>
    <row r="4" customFormat="false" ht="23.85" hidden="false" customHeight="false" outlineLevel="0" collapsed="false">
      <c r="A4" s="2" t="n">
        <v>3</v>
      </c>
      <c r="B4" s="2" t="s">
        <v>202</v>
      </c>
      <c r="C4" s="2" t="s">
        <v>203</v>
      </c>
      <c r="D4" s="2" t="s">
        <v>204</v>
      </c>
      <c r="E4" s="2" t="s">
        <v>205</v>
      </c>
      <c r="F4" s="2" t="n">
        <v>6</v>
      </c>
      <c r="G4" s="2" t="s">
        <v>196</v>
      </c>
      <c r="H4" s="2" t="s">
        <v>206</v>
      </c>
    </row>
    <row r="5" customFormat="false" ht="23.85" hidden="false" customHeight="false" outlineLevel="0" collapsed="false">
      <c r="A5" s="2" t="n">
        <v>4</v>
      </c>
      <c r="B5" s="2" t="s">
        <v>207</v>
      </c>
      <c r="C5" s="2" t="s">
        <v>208</v>
      </c>
      <c r="D5" s="2" t="s">
        <v>209</v>
      </c>
      <c r="E5" s="2" t="s">
        <v>210</v>
      </c>
      <c r="F5" s="2" t="n">
        <v>5</v>
      </c>
      <c r="G5" s="2" t="s">
        <v>211</v>
      </c>
      <c r="H5" s="2" t="s">
        <v>212</v>
      </c>
    </row>
    <row r="6" customFormat="false" ht="23.85" hidden="false" customHeight="false" outlineLevel="0" collapsed="false">
      <c r="A6" s="2" t="n">
        <v>4</v>
      </c>
      <c r="B6" s="2" t="s">
        <v>213</v>
      </c>
      <c r="C6" s="2" t="s">
        <v>214</v>
      </c>
      <c r="D6" s="2" t="s">
        <v>215</v>
      </c>
      <c r="E6" s="2" t="s">
        <v>216</v>
      </c>
      <c r="F6" s="2" t="n">
        <v>5</v>
      </c>
      <c r="G6" s="2" t="s">
        <v>211</v>
      </c>
      <c r="H6" s="2" t="s">
        <v>217</v>
      </c>
    </row>
    <row r="7" customFormat="false" ht="23.85" hidden="false" customHeight="false" outlineLevel="0" collapsed="false">
      <c r="A7" s="2" t="n">
        <v>4</v>
      </c>
      <c r="B7" s="2" t="s">
        <v>218</v>
      </c>
      <c r="C7" s="2" t="s">
        <v>219</v>
      </c>
      <c r="D7" s="2" t="s">
        <v>220</v>
      </c>
      <c r="E7" s="2" t="s">
        <v>221</v>
      </c>
      <c r="F7" s="2" t="n">
        <v>5</v>
      </c>
      <c r="G7" s="2" t="s">
        <v>196</v>
      </c>
      <c r="H7" s="2" t="s">
        <v>222</v>
      </c>
    </row>
    <row r="8" customFormat="false" ht="23.85" hidden="false" customHeight="false" outlineLevel="0" collapsed="false">
      <c r="A8" s="2" t="n">
        <v>5</v>
      </c>
      <c r="B8" s="2" t="s">
        <v>223</v>
      </c>
      <c r="C8" s="2" t="s">
        <v>224</v>
      </c>
      <c r="D8" s="2" t="s">
        <v>225</v>
      </c>
      <c r="E8" s="2" t="s">
        <v>226</v>
      </c>
      <c r="F8" s="2" t="n">
        <v>5</v>
      </c>
      <c r="G8" s="2" t="s">
        <v>227</v>
      </c>
      <c r="H8" s="2"/>
    </row>
    <row r="9" customFormat="false" ht="15" hidden="false" customHeight="false" outlineLevel="0" collapsed="false">
      <c r="A9" s="2" t="n">
        <v>5</v>
      </c>
      <c r="B9" s="2" t="s">
        <v>228</v>
      </c>
      <c r="C9" s="2" t="s">
        <v>229</v>
      </c>
      <c r="D9" s="2" t="s">
        <v>230</v>
      </c>
      <c r="E9" s="2" t="s">
        <v>231</v>
      </c>
      <c r="F9" s="2" t="n">
        <v>4</v>
      </c>
      <c r="G9" s="2" t="s">
        <v>196</v>
      </c>
      <c r="H9" s="2" t="s">
        <v>232</v>
      </c>
    </row>
    <row r="10" customFormat="false" ht="23.85" hidden="false" customHeight="false" outlineLevel="0" collapsed="false">
      <c r="A10" s="2" t="n">
        <v>5</v>
      </c>
      <c r="B10" s="2" t="s">
        <v>233</v>
      </c>
      <c r="C10" s="2" t="s">
        <v>234</v>
      </c>
      <c r="D10" s="2" t="s">
        <v>235</v>
      </c>
      <c r="E10" s="2" t="s">
        <v>236</v>
      </c>
      <c r="F10" s="2" t="n">
        <v>5</v>
      </c>
      <c r="G10" s="2" t="s">
        <v>196</v>
      </c>
      <c r="H10" s="2" t="s">
        <v>237</v>
      </c>
    </row>
    <row r="11" customFormat="false" ht="23.85" hidden="false" customHeight="false" outlineLevel="0" collapsed="false">
      <c r="A11" s="2" t="n">
        <v>6</v>
      </c>
      <c r="B11" s="2" t="s">
        <v>238</v>
      </c>
      <c r="C11" s="2" t="s">
        <v>239</v>
      </c>
      <c r="D11" s="2" t="s">
        <v>240</v>
      </c>
      <c r="E11" s="2" t="s">
        <v>241</v>
      </c>
      <c r="F11" s="2" t="n">
        <v>5</v>
      </c>
      <c r="G11" s="2" t="s">
        <v>227</v>
      </c>
      <c r="H11" s="2"/>
    </row>
    <row r="12" customFormat="false" ht="15" hidden="false" customHeight="false" outlineLevel="0" collapsed="false">
      <c r="A12" s="2" t="n">
        <v>6</v>
      </c>
      <c r="B12" s="2" t="s">
        <v>242</v>
      </c>
      <c r="C12" s="2" t="s">
        <v>243</v>
      </c>
      <c r="D12" s="2" t="s">
        <v>244</v>
      </c>
      <c r="E12" s="2" t="s">
        <v>245</v>
      </c>
      <c r="F12" s="2" t="n">
        <v>4</v>
      </c>
      <c r="G12" s="2" t="s">
        <v>196</v>
      </c>
      <c r="H12" s="2" t="s">
        <v>246</v>
      </c>
    </row>
    <row r="13" customFormat="false" ht="23.85" hidden="false" customHeight="false" outlineLevel="0" collapsed="false">
      <c r="A13" s="2" t="n">
        <v>6</v>
      </c>
      <c r="B13" s="2" t="s">
        <v>247</v>
      </c>
      <c r="C13" s="2" t="s">
        <v>248</v>
      </c>
      <c r="D13" s="2" t="s">
        <v>249</v>
      </c>
      <c r="E13" s="2" t="s">
        <v>250</v>
      </c>
      <c r="F13" s="2" t="n">
        <v>4</v>
      </c>
      <c r="G13" s="2" t="s">
        <v>196</v>
      </c>
      <c r="H13" s="2" t="s">
        <v>251</v>
      </c>
    </row>
    <row r="14" customFormat="false" ht="15" hidden="false" customHeight="false" outlineLevel="0" collapsed="false">
      <c r="A14" s="2" t="n">
        <v>7</v>
      </c>
      <c r="B14" s="2" t="s">
        <v>252</v>
      </c>
      <c r="C14" s="2" t="s">
        <v>253</v>
      </c>
      <c r="D14" s="2" t="s">
        <v>254</v>
      </c>
      <c r="E14" s="2" t="s">
        <v>255</v>
      </c>
      <c r="F14" s="2" t="n">
        <v>4</v>
      </c>
      <c r="G14" s="2" t="s">
        <v>196</v>
      </c>
      <c r="H14" s="2" t="s">
        <v>256</v>
      </c>
    </row>
    <row r="15" customFormat="false" ht="15" hidden="false" customHeight="false" outlineLevel="0" collapsed="false">
      <c r="A15" s="2" t="n">
        <v>7</v>
      </c>
      <c r="B15" s="2" t="s">
        <v>257</v>
      </c>
      <c r="C15" s="2" t="s">
        <v>258</v>
      </c>
      <c r="D15" s="2"/>
      <c r="E15" s="2" t="s">
        <v>259</v>
      </c>
      <c r="F15" s="2" t="n">
        <v>3</v>
      </c>
      <c r="G15" s="2" t="s">
        <v>196</v>
      </c>
      <c r="H15" s="2" t="s">
        <v>260</v>
      </c>
    </row>
    <row r="16" customFormat="false" ht="23.85" hidden="false" customHeight="false" outlineLevel="0" collapsed="false">
      <c r="A16" s="2" t="n">
        <v>7</v>
      </c>
      <c r="B16" s="2" t="s">
        <v>261</v>
      </c>
      <c r="C16" s="2" t="s">
        <v>262</v>
      </c>
      <c r="D16" s="2"/>
      <c r="E16" s="2" t="s">
        <v>263</v>
      </c>
      <c r="F16" s="2" t="n">
        <v>4</v>
      </c>
      <c r="G16" s="2" t="s">
        <v>196</v>
      </c>
      <c r="H16" s="2" t="s">
        <v>264</v>
      </c>
    </row>
    <row r="17" customFormat="false" ht="15" hidden="false" customHeight="false" outlineLevel="0" collapsed="false">
      <c r="A17" s="2" t="n">
        <v>8</v>
      </c>
      <c r="B17" s="2" t="s">
        <v>265</v>
      </c>
      <c r="C17" s="2" t="s">
        <v>266</v>
      </c>
      <c r="D17" s="2" t="s">
        <v>267</v>
      </c>
      <c r="E17" s="2" t="s">
        <v>268</v>
      </c>
      <c r="F17" s="2" t="n">
        <v>3</v>
      </c>
      <c r="G17" s="2" t="s">
        <v>196</v>
      </c>
      <c r="H17" s="2"/>
    </row>
    <row r="18" customFormat="false" ht="15" hidden="false" customHeight="false" outlineLevel="0" collapsed="false">
      <c r="A18" s="2" t="n">
        <v>8</v>
      </c>
      <c r="B18" s="2" t="s">
        <v>269</v>
      </c>
      <c r="C18" s="2" t="s">
        <v>270</v>
      </c>
      <c r="D18" s="2" t="s">
        <v>271</v>
      </c>
      <c r="E18" s="2" t="s">
        <v>272</v>
      </c>
      <c r="F18" s="2" t="n">
        <v>3</v>
      </c>
      <c r="G18" s="2" t="s">
        <v>196</v>
      </c>
      <c r="H18" s="2"/>
    </row>
    <row r="19" customFormat="false" ht="15" hidden="false" customHeight="false" outlineLevel="0" collapsed="false">
      <c r="A19" s="2" t="n">
        <v>8</v>
      </c>
      <c r="B19" s="2" t="s">
        <v>273</v>
      </c>
      <c r="C19" s="2" t="s">
        <v>274</v>
      </c>
      <c r="D19" s="2" t="s">
        <v>275</v>
      </c>
      <c r="E19" s="2" t="s">
        <v>276</v>
      </c>
      <c r="F19" s="2" t="n">
        <v>3</v>
      </c>
      <c r="G19" s="2" t="s">
        <v>196</v>
      </c>
      <c r="H19" s="2" t="s">
        <v>277</v>
      </c>
    </row>
  </sheetData>
  <autoFilter ref="A1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148</v>
      </c>
      <c r="D1" s="4" t="s">
        <v>185</v>
      </c>
      <c r="E1" s="4" t="s">
        <v>278</v>
      </c>
    </row>
    <row r="2" customFormat="false" ht="15" hidden="false" customHeight="false" outlineLevel="0" collapsed="false">
      <c r="A2" s="2" t="n">
        <v>1</v>
      </c>
      <c r="B2" s="2" t="s">
        <v>27</v>
      </c>
      <c r="C2" s="2" t="n">
        <v>1</v>
      </c>
      <c r="D2" s="2" t="s">
        <v>192</v>
      </c>
      <c r="E2" s="2" t="s">
        <v>279</v>
      </c>
    </row>
    <row r="3" customFormat="false" ht="15" hidden="false" customHeight="false" outlineLevel="0" collapsed="false">
      <c r="A3" s="2" t="n">
        <v>2</v>
      </c>
      <c r="B3" s="2" t="s">
        <v>34</v>
      </c>
      <c r="C3" s="2" t="n">
        <v>1</v>
      </c>
      <c r="D3" s="2"/>
      <c r="E3" s="2" t="s">
        <v>280</v>
      </c>
    </row>
    <row r="4" customFormat="false" ht="15" hidden="false" customHeight="false" outlineLevel="0" collapsed="false">
      <c r="A4" s="2" t="n">
        <v>3</v>
      </c>
      <c r="B4" s="2" t="s">
        <v>40</v>
      </c>
      <c r="C4" s="2" t="n">
        <v>1</v>
      </c>
      <c r="D4" s="2"/>
      <c r="E4" s="2" t="s">
        <v>280</v>
      </c>
    </row>
    <row r="5" customFormat="false" ht="15" hidden="false" customHeight="false" outlineLevel="0" collapsed="false">
      <c r="A5" s="2" t="n">
        <v>4</v>
      </c>
      <c r="B5" s="2" t="s">
        <v>46</v>
      </c>
      <c r="C5" s="2" t="n">
        <v>1</v>
      </c>
      <c r="D5" s="2"/>
      <c r="E5" s="2" t="s">
        <v>280</v>
      </c>
    </row>
    <row r="6" customFormat="false" ht="15" hidden="false" customHeight="false" outlineLevel="0" collapsed="false">
      <c r="A6" s="2" t="n">
        <v>5</v>
      </c>
      <c r="B6" s="2" t="s">
        <v>52</v>
      </c>
      <c r="C6" s="2" t="n">
        <v>1</v>
      </c>
      <c r="D6" s="2" t="s">
        <v>192</v>
      </c>
      <c r="E6" s="2" t="s">
        <v>279</v>
      </c>
    </row>
    <row r="7" customFormat="false" ht="15" hidden="false" customHeight="false" outlineLevel="0" collapsed="false">
      <c r="A7" s="2" t="n">
        <v>6</v>
      </c>
      <c r="B7" s="2" t="s">
        <v>57</v>
      </c>
      <c r="C7" s="2" t="n">
        <v>1</v>
      </c>
      <c r="D7" s="2"/>
      <c r="E7" s="2" t="s">
        <v>280</v>
      </c>
    </row>
    <row r="8" customFormat="false" ht="15" hidden="false" customHeight="false" outlineLevel="0" collapsed="false">
      <c r="A8" s="2" t="n">
        <v>7</v>
      </c>
      <c r="B8" s="2" t="s">
        <v>62</v>
      </c>
      <c r="C8" s="2" t="n">
        <v>1</v>
      </c>
      <c r="D8" s="2"/>
      <c r="E8" s="2" t="s">
        <v>280</v>
      </c>
    </row>
    <row r="9" customFormat="false" ht="15" hidden="false" customHeight="false" outlineLevel="0" collapsed="false">
      <c r="A9" s="2" t="n">
        <v>8</v>
      </c>
      <c r="B9" s="2" t="s">
        <v>66</v>
      </c>
      <c r="C9" s="2" t="n">
        <v>1</v>
      </c>
      <c r="D9" s="2" t="s">
        <v>192</v>
      </c>
      <c r="E9" s="2" t="s">
        <v>279</v>
      </c>
    </row>
    <row r="10" customFormat="false" ht="15" hidden="false" customHeight="false" outlineLevel="0" collapsed="false">
      <c r="A10" s="2" t="n">
        <v>9</v>
      </c>
      <c r="B10" s="2" t="s">
        <v>69</v>
      </c>
      <c r="C10" s="2" t="n">
        <v>1</v>
      </c>
      <c r="D10" s="2" t="s">
        <v>192</v>
      </c>
      <c r="E10" s="2" t="s">
        <v>279</v>
      </c>
    </row>
    <row r="11" customFormat="false" ht="15" hidden="false" customHeight="false" outlineLevel="0" collapsed="false">
      <c r="A11" s="2" t="n">
        <v>10</v>
      </c>
      <c r="B11" s="2" t="s">
        <v>74</v>
      </c>
      <c r="C11" s="2" t="n">
        <v>1</v>
      </c>
      <c r="D11" s="2" t="s">
        <v>192</v>
      </c>
      <c r="E11" s="2" t="s">
        <v>279</v>
      </c>
    </row>
    <row r="12" customFormat="false" ht="15" hidden="false" customHeight="false" outlineLevel="0" collapsed="false">
      <c r="A12" s="2" t="n">
        <v>11</v>
      </c>
      <c r="B12" s="2" t="s">
        <v>78</v>
      </c>
      <c r="C12" s="2" t="n">
        <v>1</v>
      </c>
      <c r="D12" s="2"/>
      <c r="E12" s="2" t="s">
        <v>280</v>
      </c>
    </row>
    <row r="13" customFormat="false" ht="15" hidden="false" customHeight="false" outlineLevel="0" collapsed="false">
      <c r="A13" s="2" t="n">
        <v>12</v>
      </c>
      <c r="B13" s="2" t="s">
        <v>83</v>
      </c>
      <c r="C13" s="2" t="n">
        <v>1</v>
      </c>
      <c r="D13" s="2"/>
      <c r="E13" s="2" t="s">
        <v>280</v>
      </c>
    </row>
    <row r="14" customFormat="false" ht="15" hidden="false" customHeight="false" outlineLevel="0" collapsed="false">
      <c r="A14" s="2" t="n">
        <v>13</v>
      </c>
      <c r="B14" s="2" t="s">
        <v>87</v>
      </c>
      <c r="C14" s="2" t="n">
        <v>1</v>
      </c>
      <c r="D14" s="2"/>
      <c r="E14" s="2" t="s">
        <v>280</v>
      </c>
    </row>
    <row r="15" customFormat="false" ht="15" hidden="false" customHeight="false" outlineLevel="0" collapsed="false">
      <c r="A15" s="2" t="n">
        <v>14</v>
      </c>
      <c r="B15" s="2" t="s">
        <v>92</v>
      </c>
      <c r="C15" s="2" t="n">
        <v>1</v>
      </c>
      <c r="D15" s="2"/>
      <c r="E15" s="2" t="s">
        <v>280</v>
      </c>
    </row>
    <row r="16" customFormat="false" ht="15" hidden="false" customHeight="false" outlineLevel="0" collapsed="false">
      <c r="A16" s="2" t="n">
        <v>15</v>
      </c>
      <c r="B16" s="2" t="s">
        <v>94</v>
      </c>
      <c r="C16" s="2" t="n">
        <v>1</v>
      </c>
      <c r="D16" s="2"/>
      <c r="E16" s="2" t="s">
        <v>280</v>
      </c>
    </row>
    <row r="17" customFormat="false" ht="15" hidden="false" customHeight="false" outlineLevel="0" collapsed="false">
      <c r="A17" s="2" t="n">
        <v>16</v>
      </c>
      <c r="B17" s="2" t="s">
        <v>98</v>
      </c>
      <c r="C17" s="2" t="n">
        <v>1</v>
      </c>
      <c r="D17" s="2"/>
      <c r="E17" s="2" t="s">
        <v>280</v>
      </c>
    </row>
    <row r="18" customFormat="false" ht="15" hidden="false" customHeight="false" outlineLevel="0" collapsed="false">
      <c r="A18" s="2" t="n">
        <v>17</v>
      </c>
      <c r="B18" s="2" t="s">
        <v>102</v>
      </c>
      <c r="C18" s="2" t="n">
        <v>1</v>
      </c>
      <c r="D18" s="2"/>
      <c r="E18" s="2" t="s">
        <v>280</v>
      </c>
    </row>
    <row r="19" customFormat="false" ht="15" hidden="false" customHeight="false" outlineLevel="0" collapsed="false">
      <c r="A19" s="2" t="n">
        <v>18</v>
      </c>
      <c r="B19" s="2" t="s">
        <v>105</v>
      </c>
      <c r="C19" s="2" t="n">
        <v>1</v>
      </c>
      <c r="D19" s="2" t="s">
        <v>192</v>
      </c>
      <c r="E19" s="2" t="s">
        <v>71</v>
      </c>
    </row>
    <row r="20" customFormat="false" ht="15" hidden="false" customHeight="false" outlineLevel="0" collapsed="false">
      <c r="A20" s="2" t="n">
        <v>19</v>
      </c>
      <c r="B20" s="2" t="s">
        <v>110</v>
      </c>
      <c r="C20" s="2" t="n">
        <v>1</v>
      </c>
      <c r="D20" s="2"/>
      <c r="E20" s="2" t="s">
        <v>281</v>
      </c>
    </row>
    <row r="21" customFormat="false" ht="15" hidden="false" customHeight="false" outlineLevel="0" collapsed="false">
      <c r="A21" s="2" t="n">
        <v>20</v>
      </c>
      <c r="B21" s="2" t="s">
        <v>114</v>
      </c>
      <c r="C21" s="2" t="n">
        <v>1</v>
      </c>
      <c r="D21" s="2"/>
      <c r="E21" s="2" t="s">
        <v>281</v>
      </c>
    </row>
    <row r="22" customFormat="false" ht="15" hidden="false" customHeight="false" outlineLevel="0" collapsed="false">
      <c r="A22" s="2" t="n">
        <v>21</v>
      </c>
      <c r="B22" s="2" t="s">
        <v>117</v>
      </c>
      <c r="C22" s="2" t="n">
        <v>1</v>
      </c>
      <c r="D22" s="2"/>
      <c r="E22" s="2" t="s">
        <v>281</v>
      </c>
    </row>
    <row r="23" customFormat="false" ht="15" hidden="false" customHeight="false" outlineLevel="0" collapsed="false">
      <c r="A23" s="2" t="n">
        <v>22</v>
      </c>
      <c r="B23" s="2" t="s">
        <v>119</v>
      </c>
      <c r="C23" s="2" t="n">
        <v>1</v>
      </c>
      <c r="D23" s="2"/>
      <c r="E23" s="2" t="s">
        <v>281</v>
      </c>
    </row>
    <row r="24" customFormat="false" ht="15" hidden="false" customHeight="false" outlineLevel="0" collapsed="false">
      <c r="A24" s="2" t="n">
        <v>23</v>
      </c>
      <c r="B24" s="2" t="s">
        <v>122</v>
      </c>
      <c r="C24" s="2" t="n">
        <v>1</v>
      </c>
      <c r="D24" s="2"/>
      <c r="E24" s="2" t="s">
        <v>281</v>
      </c>
    </row>
    <row r="25" customFormat="false" ht="15" hidden="false" customHeight="false" outlineLevel="0" collapsed="false">
      <c r="A25" s="2" t="n">
        <v>24</v>
      </c>
      <c r="B25" s="2" t="s">
        <v>125</v>
      </c>
      <c r="C25" s="2" t="n">
        <v>1</v>
      </c>
      <c r="D25" s="2"/>
      <c r="E25" s="2" t="s">
        <v>281</v>
      </c>
    </row>
    <row r="26" customFormat="false" ht="15" hidden="false" customHeight="false" outlineLevel="0" collapsed="false">
      <c r="A26" s="2" t="n">
        <v>25</v>
      </c>
      <c r="B26" s="2" t="s">
        <v>128</v>
      </c>
      <c r="C26" s="2" t="n">
        <v>1</v>
      </c>
      <c r="D26" s="2"/>
      <c r="E26" s="2" t="s">
        <v>281</v>
      </c>
    </row>
    <row r="27" customFormat="false" ht="15" hidden="false" customHeight="false" outlineLevel="0" collapsed="false">
      <c r="A27" s="2" t="n">
        <v>26</v>
      </c>
      <c r="B27" s="2" t="s">
        <v>132</v>
      </c>
      <c r="C27" s="2" t="n">
        <v>1</v>
      </c>
      <c r="D27" s="2"/>
      <c r="E27" s="2" t="s">
        <v>281</v>
      </c>
    </row>
    <row r="28" customFormat="false" ht="15" hidden="false" customHeight="false" outlineLevel="0" collapsed="false">
      <c r="A28" s="2" t="n">
        <v>27</v>
      </c>
      <c r="B28" s="2" t="s">
        <v>135</v>
      </c>
      <c r="C28" s="2" t="n">
        <v>1</v>
      </c>
      <c r="D28" s="2"/>
      <c r="E28" s="2" t="s">
        <v>281</v>
      </c>
    </row>
    <row r="29" customFormat="false" ht="15" hidden="false" customHeight="false" outlineLevel="0" collapsed="false">
      <c r="A29" s="2" t="n">
        <v>28</v>
      </c>
      <c r="B29" s="2" t="s">
        <v>140</v>
      </c>
      <c r="C29" s="2" t="n">
        <v>1</v>
      </c>
      <c r="D29" s="2"/>
      <c r="E29" s="2" t="s">
        <v>281</v>
      </c>
    </row>
    <row r="30" customFormat="false" ht="15" hidden="false" customHeight="false" outlineLevel="0" collapsed="false">
      <c r="A30" s="2" t="n">
        <v>29</v>
      </c>
      <c r="B30" s="2" t="s">
        <v>143</v>
      </c>
      <c r="C30" s="2" t="n">
        <v>1</v>
      </c>
      <c r="D30" s="2"/>
      <c r="E30" s="2" t="s">
        <v>281</v>
      </c>
    </row>
    <row r="31" customFormat="false" ht="15" hidden="false" customHeight="false" outlineLevel="0" collapsed="false">
      <c r="A31" s="2" t="n">
        <v>30</v>
      </c>
      <c r="B31" s="2" t="s">
        <v>146</v>
      </c>
      <c r="C31" s="2" t="n">
        <v>1</v>
      </c>
      <c r="D31" s="2"/>
      <c r="E31" s="2" t="s">
        <v>281</v>
      </c>
    </row>
    <row r="32" customFormat="false" ht="15" hidden="false" customHeight="false" outlineLevel="0" collapsed="false">
      <c r="A32" s="2" t="n">
        <v>1</v>
      </c>
      <c r="B32" s="2" t="s">
        <v>27</v>
      </c>
      <c r="C32" s="2" t="n">
        <v>2</v>
      </c>
      <c r="D32" s="2"/>
      <c r="E32" s="2" t="s">
        <v>280</v>
      </c>
    </row>
    <row r="33" customFormat="false" ht="15" hidden="false" customHeight="false" outlineLevel="0" collapsed="false">
      <c r="A33" s="2" t="n">
        <v>2</v>
      </c>
      <c r="B33" s="2" t="s">
        <v>34</v>
      </c>
      <c r="C33" s="2" t="n">
        <v>2</v>
      </c>
      <c r="D33" s="2" t="s">
        <v>198</v>
      </c>
      <c r="E33" s="2" t="s">
        <v>279</v>
      </c>
    </row>
    <row r="34" customFormat="false" ht="15" hidden="false" customHeight="false" outlineLevel="0" collapsed="false">
      <c r="A34" s="2" t="n">
        <v>3</v>
      </c>
      <c r="B34" s="2" t="s">
        <v>40</v>
      </c>
      <c r="C34" s="2" t="n">
        <v>2</v>
      </c>
      <c r="D34" s="2"/>
      <c r="E34" s="2" t="s">
        <v>280</v>
      </c>
    </row>
    <row r="35" customFormat="false" ht="15" hidden="false" customHeight="false" outlineLevel="0" collapsed="false">
      <c r="A35" s="2" t="n">
        <v>4</v>
      </c>
      <c r="B35" s="2" t="s">
        <v>46</v>
      </c>
      <c r="C35" s="2" t="n">
        <v>2</v>
      </c>
      <c r="D35" s="2" t="s">
        <v>198</v>
      </c>
      <c r="E35" s="2" t="s">
        <v>279</v>
      </c>
    </row>
    <row r="36" customFormat="false" ht="15" hidden="false" customHeight="false" outlineLevel="0" collapsed="false">
      <c r="A36" s="2" t="n">
        <v>5</v>
      </c>
      <c r="B36" s="2" t="s">
        <v>52</v>
      </c>
      <c r="C36" s="2" t="n">
        <v>2</v>
      </c>
      <c r="D36" s="2"/>
      <c r="E36" s="2" t="s">
        <v>280</v>
      </c>
    </row>
    <row r="37" customFormat="false" ht="15" hidden="false" customHeight="false" outlineLevel="0" collapsed="false">
      <c r="A37" s="2" t="n">
        <v>6</v>
      </c>
      <c r="B37" s="2" t="s">
        <v>57</v>
      </c>
      <c r="C37" s="2" t="n">
        <v>2</v>
      </c>
      <c r="D37" s="2" t="s">
        <v>198</v>
      </c>
      <c r="E37" s="2" t="s">
        <v>279</v>
      </c>
    </row>
    <row r="38" customFormat="false" ht="15" hidden="false" customHeight="false" outlineLevel="0" collapsed="false">
      <c r="A38" s="2" t="n">
        <v>7</v>
      </c>
      <c r="B38" s="2" t="s">
        <v>62</v>
      </c>
      <c r="C38" s="2" t="n">
        <v>2</v>
      </c>
      <c r="D38" s="2"/>
      <c r="E38" s="2" t="s">
        <v>280</v>
      </c>
    </row>
    <row r="39" customFormat="false" ht="15" hidden="false" customHeight="false" outlineLevel="0" collapsed="false">
      <c r="A39" s="2" t="n">
        <v>8</v>
      </c>
      <c r="B39" s="2" t="s">
        <v>66</v>
      </c>
      <c r="C39" s="2" t="n">
        <v>2</v>
      </c>
      <c r="D39" s="2"/>
      <c r="E39" s="2" t="s">
        <v>280</v>
      </c>
    </row>
    <row r="40" customFormat="false" ht="15" hidden="false" customHeight="false" outlineLevel="0" collapsed="false">
      <c r="A40" s="2" t="n">
        <v>9</v>
      </c>
      <c r="B40" s="2" t="s">
        <v>69</v>
      </c>
      <c r="C40" s="2" t="n">
        <v>2</v>
      </c>
      <c r="D40" s="2"/>
      <c r="E40" s="2" t="s">
        <v>280</v>
      </c>
    </row>
    <row r="41" customFormat="false" ht="15" hidden="false" customHeight="false" outlineLevel="0" collapsed="false">
      <c r="A41" s="2" t="n">
        <v>10</v>
      </c>
      <c r="B41" s="2" t="s">
        <v>74</v>
      </c>
      <c r="C41" s="2" t="n">
        <v>2</v>
      </c>
      <c r="D41" s="2"/>
      <c r="E41" s="2" t="s">
        <v>280</v>
      </c>
    </row>
    <row r="42" customFormat="false" ht="15" hidden="false" customHeight="false" outlineLevel="0" collapsed="false">
      <c r="A42" s="2" t="n">
        <v>11</v>
      </c>
      <c r="B42" s="2" t="s">
        <v>78</v>
      </c>
      <c r="C42" s="2" t="n">
        <v>2</v>
      </c>
      <c r="D42" s="2" t="s">
        <v>198</v>
      </c>
      <c r="E42" s="2" t="s">
        <v>282</v>
      </c>
    </row>
    <row r="43" customFormat="false" ht="15" hidden="false" customHeight="false" outlineLevel="0" collapsed="false">
      <c r="A43" s="2" t="n">
        <v>12</v>
      </c>
      <c r="B43" s="2" t="s">
        <v>83</v>
      </c>
      <c r="C43" s="2" t="n">
        <v>2</v>
      </c>
      <c r="D43" s="2" t="s">
        <v>198</v>
      </c>
      <c r="E43" s="2" t="s">
        <v>279</v>
      </c>
    </row>
    <row r="44" customFormat="false" ht="15" hidden="false" customHeight="false" outlineLevel="0" collapsed="false">
      <c r="A44" s="2" t="n">
        <v>13</v>
      </c>
      <c r="B44" s="2" t="s">
        <v>87</v>
      </c>
      <c r="C44" s="2" t="n">
        <v>2</v>
      </c>
      <c r="D44" s="2"/>
      <c r="E44" s="2" t="s">
        <v>280</v>
      </c>
    </row>
    <row r="45" customFormat="false" ht="15" hidden="false" customHeight="false" outlineLevel="0" collapsed="false">
      <c r="A45" s="2" t="n">
        <v>14</v>
      </c>
      <c r="B45" s="2" t="s">
        <v>92</v>
      </c>
      <c r="C45" s="2" t="n">
        <v>2</v>
      </c>
      <c r="D45" s="2"/>
      <c r="E45" s="2" t="s">
        <v>280</v>
      </c>
    </row>
    <row r="46" customFormat="false" ht="15" hidden="false" customHeight="false" outlineLevel="0" collapsed="false">
      <c r="A46" s="2" t="n">
        <v>15</v>
      </c>
      <c r="B46" s="2" t="s">
        <v>94</v>
      </c>
      <c r="C46" s="2" t="n">
        <v>2</v>
      </c>
      <c r="D46" s="2"/>
      <c r="E46" s="2" t="s">
        <v>280</v>
      </c>
    </row>
    <row r="47" customFormat="false" ht="15" hidden="false" customHeight="false" outlineLevel="0" collapsed="false">
      <c r="A47" s="2" t="n">
        <v>16</v>
      </c>
      <c r="B47" s="2" t="s">
        <v>98</v>
      </c>
      <c r="C47" s="2" t="n">
        <v>2</v>
      </c>
      <c r="D47" s="2"/>
      <c r="E47" s="2" t="s">
        <v>280</v>
      </c>
    </row>
    <row r="48" customFormat="false" ht="15" hidden="false" customHeight="false" outlineLevel="0" collapsed="false">
      <c r="A48" s="2" t="n">
        <v>17</v>
      </c>
      <c r="B48" s="2" t="s">
        <v>102</v>
      </c>
      <c r="C48" s="2" t="n">
        <v>2</v>
      </c>
      <c r="D48" s="2" t="s">
        <v>198</v>
      </c>
      <c r="E48" s="2" t="s">
        <v>71</v>
      </c>
    </row>
    <row r="49" customFormat="false" ht="15" hidden="false" customHeight="false" outlineLevel="0" collapsed="false">
      <c r="A49" s="2" t="n">
        <v>1</v>
      </c>
      <c r="B49" s="2" t="s">
        <v>27</v>
      </c>
      <c r="C49" s="2" t="n">
        <v>3</v>
      </c>
      <c r="D49" s="2"/>
      <c r="E49" s="2" t="s">
        <v>280</v>
      </c>
    </row>
    <row r="50" customFormat="false" ht="15" hidden="false" customHeight="false" outlineLevel="0" collapsed="false">
      <c r="A50" s="2" t="n">
        <v>2</v>
      </c>
      <c r="B50" s="2" t="s">
        <v>34</v>
      </c>
      <c r="C50" s="2" t="n">
        <v>3</v>
      </c>
      <c r="D50" s="2"/>
      <c r="E50" s="2" t="s">
        <v>280</v>
      </c>
    </row>
    <row r="51" customFormat="false" ht="15" hidden="false" customHeight="false" outlineLevel="0" collapsed="false">
      <c r="A51" s="2" t="n">
        <v>3</v>
      </c>
      <c r="B51" s="2" t="s">
        <v>40</v>
      </c>
      <c r="C51" s="2" t="n">
        <v>3</v>
      </c>
      <c r="D51" s="2" t="s">
        <v>202</v>
      </c>
      <c r="E51" s="2" t="s">
        <v>279</v>
      </c>
    </row>
    <row r="52" customFormat="false" ht="15" hidden="false" customHeight="false" outlineLevel="0" collapsed="false">
      <c r="A52" s="2" t="n">
        <v>4</v>
      </c>
      <c r="B52" s="2" t="s">
        <v>46</v>
      </c>
      <c r="C52" s="2" t="n">
        <v>3</v>
      </c>
      <c r="D52" s="2"/>
      <c r="E52" s="2" t="s">
        <v>280</v>
      </c>
    </row>
    <row r="53" customFormat="false" ht="15" hidden="false" customHeight="false" outlineLevel="0" collapsed="false">
      <c r="A53" s="2" t="n">
        <v>5</v>
      </c>
      <c r="B53" s="2" t="s">
        <v>52</v>
      </c>
      <c r="C53" s="2" t="n">
        <v>3</v>
      </c>
      <c r="D53" s="2"/>
      <c r="E53" s="2" t="s">
        <v>280</v>
      </c>
    </row>
    <row r="54" customFormat="false" ht="15" hidden="false" customHeight="false" outlineLevel="0" collapsed="false">
      <c r="A54" s="2" t="n">
        <v>6</v>
      </c>
      <c r="B54" s="2" t="s">
        <v>57</v>
      </c>
      <c r="C54" s="2" t="n">
        <v>3</v>
      </c>
      <c r="D54" s="2"/>
      <c r="E54" s="2" t="s">
        <v>280</v>
      </c>
    </row>
    <row r="55" customFormat="false" ht="15" hidden="false" customHeight="false" outlineLevel="0" collapsed="false">
      <c r="A55" s="2" t="n">
        <v>7</v>
      </c>
      <c r="B55" s="2" t="s">
        <v>62</v>
      </c>
      <c r="C55" s="2" t="n">
        <v>3</v>
      </c>
      <c r="D55" s="2" t="s">
        <v>202</v>
      </c>
      <c r="E55" s="2" t="s">
        <v>279</v>
      </c>
    </row>
    <row r="56" customFormat="false" ht="15" hidden="false" customHeight="false" outlineLevel="0" collapsed="false">
      <c r="A56" s="2" t="n">
        <v>8</v>
      </c>
      <c r="B56" s="2" t="s">
        <v>66</v>
      </c>
      <c r="C56" s="2" t="n">
        <v>3</v>
      </c>
      <c r="D56" s="2"/>
      <c r="E56" s="2" t="s">
        <v>280</v>
      </c>
    </row>
    <row r="57" customFormat="false" ht="15" hidden="false" customHeight="false" outlineLevel="0" collapsed="false">
      <c r="A57" s="2" t="n">
        <v>9</v>
      </c>
      <c r="B57" s="2" t="s">
        <v>69</v>
      </c>
      <c r="C57" s="2" t="n">
        <v>3</v>
      </c>
      <c r="D57" s="2"/>
      <c r="E57" s="2" t="s">
        <v>280</v>
      </c>
    </row>
    <row r="58" customFormat="false" ht="15" hidden="false" customHeight="false" outlineLevel="0" collapsed="false">
      <c r="A58" s="2" t="n">
        <v>10</v>
      </c>
      <c r="B58" s="2" t="s">
        <v>74</v>
      </c>
      <c r="C58" s="2" t="n">
        <v>3</v>
      </c>
      <c r="D58" s="2"/>
      <c r="E58" s="2" t="s">
        <v>280</v>
      </c>
    </row>
    <row r="59" customFormat="false" ht="15" hidden="false" customHeight="false" outlineLevel="0" collapsed="false">
      <c r="A59" s="2" t="n">
        <v>11</v>
      </c>
      <c r="B59" s="2" t="s">
        <v>78</v>
      </c>
      <c r="C59" s="2" t="n">
        <v>3</v>
      </c>
      <c r="D59" s="2"/>
      <c r="E59" s="2" t="s">
        <v>280</v>
      </c>
    </row>
    <row r="60" customFormat="false" ht="15" hidden="false" customHeight="false" outlineLevel="0" collapsed="false">
      <c r="A60" s="2" t="n">
        <v>12</v>
      </c>
      <c r="B60" s="2" t="s">
        <v>83</v>
      </c>
      <c r="C60" s="2" t="n">
        <v>3</v>
      </c>
      <c r="D60" s="2"/>
      <c r="E60" s="2" t="s">
        <v>280</v>
      </c>
    </row>
    <row r="61" customFormat="false" ht="15" hidden="false" customHeight="false" outlineLevel="0" collapsed="false">
      <c r="A61" s="2" t="n">
        <v>13</v>
      </c>
      <c r="B61" s="2" t="s">
        <v>87</v>
      </c>
      <c r="C61" s="2" t="n">
        <v>3</v>
      </c>
      <c r="D61" s="2" t="s">
        <v>202</v>
      </c>
      <c r="E61" s="2" t="s">
        <v>279</v>
      </c>
    </row>
    <row r="62" customFormat="false" ht="15" hidden="false" customHeight="false" outlineLevel="0" collapsed="false">
      <c r="A62" s="2" t="n">
        <v>14</v>
      </c>
      <c r="B62" s="2" t="s">
        <v>92</v>
      </c>
      <c r="C62" s="2" t="n">
        <v>3</v>
      </c>
      <c r="D62" s="2" t="s">
        <v>202</v>
      </c>
      <c r="E62" s="2" t="s">
        <v>279</v>
      </c>
    </row>
    <row r="63" customFormat="false" ht="15" hidden="false" customHeight="false" outlineLevel="0" collapsed="false">
      <c r="A63" s="2" t="n">
        <v>15</v>
      </c>
      <c r="B63" s="2" t="s">
        <v>94</v>
      </c>
      <c r="C63" s="2" t="n">
        <v>3</v>
      </c>
      <c r="D63" s="2" t="s">
        <v>202</v>
      </c>
      <c r="E63" s="2" t="s">
        <v>279</v>
      </c>
    </row>
    <row r="64" customFormat="false" ht="15" hidden="false" customHeight="false" outlineLevel="0" collapsed="false">
      <c r="A64" s="2" t="n">
        <v>16</v>
      </c>
      <c r="B64" s="2" t="s">
        <v>98</v>
      </c>
      <c r="C64" s="2" t="n">
        <v>3</v>
      </c>
      <c r="D64" s="2" t="s">
        <v>202</v>
      </c>
      <c r="E64" s="2" t="s">
        <v>71</v>
      </c>
    </row>
    <row r="65" customFormat="false" ht="15" hidden="false" customHeight="false" outlineLevel="0" collapsed="false">
      <c r="A65" s="2" t="n">
        <v>1</v>
      </c>
      <c r="B65" s="2" t="s">
        <v>27</v>
      </c>
      <c r="C65" s="2" t="n">
        <v>4</v>
      </c>
      <c r="D65" s="2" t="s">
        <v>207</v>
      </c>
      <c r="E65" s="2" t="s">
        <v>279</v>
      </c>
    </row>
    <row r="66" customFormat="false" ht="15" hidden="false" customHeight="false" outlineLevel="0" collapsed="false">
      <c r="A66" s="2" t="n">
        <v>2</v>
      </c>
      <c r="B66" s="2" t="s">
        <v>34</v>
      </c>
      <c r="C66" s="2" t="n">
        <v>4</v>
      </c>
      <c r="D66" s="2" t="s">
        <v>213</v>
      </c>
      <c r="E66" s="2" t="s">
        <v>279</v>
      </c>
    </row>
    <row r="67" customFormat="false" ht="15" hidden="false" customHeight="false" outlineLevel="0" collapsed="false">
      <c r="A67" s="2" t="n">
        <v>3</v>
      </c>
      <c r="B67" s="2" t="s">
        <v>40</v>
      </c>
      <c r="C67" s="2" t="n">
        <v>4</v>
      </c>
      <c r="D67" s="2" t="s">
        <v>207</v>
      </c>
      <c r="E67" s="2" t="s">
        <v>279</v>
      </c>
    </row>
    <row r="68" customFormat="false" ht="15" hidden="false" customHeight="false" outlineLevel="0" collapsed="false">
      <c r="A68" s="2" t="n">
        <v>4</v>
      </c>
      <c r="B68" s="2" t="s">
        <v>46</v>
      </c>
      <c r="C68" s="2" t="n">
        <v>4</v>
      </c>
      <c r="D68" s="2" t="s">
        <v>207</v>
      </c>
      <c r="E68" s="2" t="s">
        <v>279</v>
      </c>
    </row>
    <row r="69" customFormat="false" ht="15" hidden="false" customHeight="false" outlineLevel="0" collapsed="false">
      <c r="A69" s="2" t="n">
        <v>5</v>
      </c>
      <c r="B69" s="2" t="s">
        <v>52</v>
      </c>
      <c r="C69" s="2" t="n">
        <v>4</v>
      </c>
      <c r="D69" s="2" t="s">
        <v>207</v>
      </c>
      <c r="E69" s="2" t="s">
        <v>279</v>
      </c>
    </row>
    <row r="70" customFormat="false" ht="15" hidden="false" customHeight="false" outlineLevel="0" collapsed="false">
      <c r="A70" s="2" t="n">
        <v>6</v>
      </c>
      <c r="B70" s="2" t="s">
        <v>57</v>
      </c>
      <c r="C70" s="2" t="n">
        <v>4</v>
      </c>
      <c r="D70" s="2" t="s">
        <v>218</v>
      </c>
      <c r="E70" s="2" t="s">
        <v>279</v>
      </c>
    </row>
    <row r="71" customFormat="false" ht="15" hidden="false" customHeight="false" outlineLevel="0" collapsed="false">
      <c r="A71" s="2" t="n">
        <v>7</v>
      </c>
      <c r="B71" s="2" t="s">
        <v>62</v>
      </c>
      <c r="C71" s="2" t="n">
        <v>4</v>
      </c>
      <c r="D71" s="2" t="s">
        <v>207</v>
      </c>
      <c r="E71" s="2" t="s">
        <v>282</v>
      </c>
    </row>
    <row r="72" customFormat="false" ht="15" hidden="false" customHeight="false" outlineLevel="0" collapsed="false">
      <c r="A72" s="2" t="n">
        <v>8</v>
      </c>
      <c r="B72" s="2" t="s">
        <v>66</v>
      </c>
      <c r="C72" s="2" t="n">
        <v>4</v>
      </c>
      <c r="D72" s="2" t="s">
        <v>213</v>
      </c>
      <c r="E72" s="2" t="s">
        <v>279</v>
      </c>
    </row>
    <row r="73" customFormat="false" ht="15" hidden="false" customHeight="false" outlineLevel="0" collapsed="false">
      <c r="A73" s="2" t="n">
        <v>9</v>
      </c>
      <c r="B73" s="2" t="s">
        <v>69</v>
      </c>
      <c r="C73" s="2" t="n">
        <v>4</v>
      </c>
      <c r="D73" s="2" t="s">
        <v>218</v>
      </c>
      <c r="E73" s="2" t="s">
        <v>279</v>
      </c>
    </row>
    <row r="74" customFormat="false" ht="15" hidden="false" customHeight="false" outlineLevel="0" collapsed="false">
      <c r="A74" s="2" t="n">
        <v>10</v>
      </c>
      <c r="B74" s="2" t="s">
        <v>74</v>
      </c>
      <c r="C74" s="2" t="n">
        <v>4</v>
      </c>
      <c r="D74" s="2" t="s">
        <v>218</v>
      </c>
      <c r="E74" s="2" t="s">
        <v>279</v>
      </c>
    </row>
    <row r="75" customFormat="false" ht="15" hidden="false" customHeight="false" outlineLevel="0" collapsed="false">
      <c r="A75" s="2" t="n">
        <v>11</v>
      </c>
      <c r="B75" s="2" t="s">
        <v>78</v>
      </c>
      <c r="C75" s="2" t="n">
        <v>4</v>
      </c>
      <c r="D75" s="2" t="s">
        <v>218</v>
      </c>
      <c r="E75" s="2" t="s">
        <v>279</v>
      </c>
    </row>
    <row r="76" customFormat="false" ht="15" hidden="false" customHeight="false" outlineLevel="0" collapsed="false">
      <c r="A76" s="2" t="n">
        <v>12</v>
      </c>
      <c r="B76" s="2" t="s">
        <v>83</v>
      </c>
      <c r="C76" s="2" t="n">
        <v>4</v>
      </c>
      <c r="D76" s="2" t="s">
        <v>213</v>
      </c>
      <c r="E76" s="2" t="s">
        <v>279</v>
      </c>
    </row>
    <row r="77" customFormat="false" ht="15" hidden="false" customHeight="false" outlineLevel="0" collapsed="false">
      <c r="A77" s="2" t="n">
        <v>13</v>
      </c>
      <c r="B77" s="2" t="s">
        <v>87</v>
      </c>
      <c r="C77" s="2" t="n">
        <v>4</v>
      </c>
      <c r="D77" s="2" t="s">
        <v>213</v>
      </c>
      <c r="E77" s="2" t="s">
        <v>279</v>
      </c>
    </row>
    <row r="78" customFormat="false" ht="15" hidden="false" customHeight="false" outlineLevel="0" collapsed="false">
      <c r="A78" s="2" t="n">
        <v>14</v>
      </c>
      <c r="B78" s="2" t="s">
        <v>92</v>
      </c>
      <c r="C78" s="2" t="n">
        <v>4</v>
      </c>
      <c r="D78" s="2" t="s">
        <v>213</v>
      </c>
      <c r="E78" s="2" t="s">
        <v>279</v>
      </c>
    </row>
    <row r="79" customFormat="false" ht="15" hidden="false" customHeight="false" outlineLevel="0" collapsed="false">
      <c r="A79" s="2" t="n">
        <v>15</v>
      </c>
      <c r="B79" s="2" t="s">
        <v>94</v>
      </c>
      <c r="C79" s="2" t="n">
        <v>4</v>
      </c>
      <c r="D79" s="2" t="s">
        <v>218</v>
      </c>
      <c r="E79" s="2" t="s">
        <v>71</v>
      </c>
    </row>
    <row r="80" customFormat="false" ht="15" hidden="false" customHeight="false" outlineLevel="0" collapsed="false">
      <c r="A80" s="2" t="n">
        <v>1</v>
      </c>
      <c r="B80" s="2" t="s">
        <v>27</v>
      </c>
      <c r="C80" s="2" t="n">
        <v>5</v>
      </c>
      <c r="D80" s="2" t="s">
        <v>233</v>
      </c>
      <c r="E80" s="2" t="s">
        <v>279</v>
      </c>
    </row>
    <row r="81" customFormat="false" ht="15" hidden="false" customHeight="false" outlineLevel="0" collapsed="false">
      <c r="A81" s="2" t="n">
        <v>2</v>
      </c>
      <c r="B81" s="2" t="s">
        <v>34</v>
      </c>
      <c r="C81" s="2" t="n">
        <v>5</v>
      </c>
      <c r="D81" s="2" t="s">
        <v>228</v>
      </c>
      <c r="E81" s="2" t="s">
        <v>279</v>
      </c>
    </row>
    <row r="82" customFormat="false" ht="15" hidden="false" customHeight="false" outlineLevel="0" collapsed="false">
      <c r="A82" s="2" t="n">
        <v>3</v>
      </c>
      <c r="B82" s="2" t="s">
        <v>40</v>
      </c>
      <c r="C82" s="2" t="n">
        <v>5</v>
      </c>
      <c r="D82" s="2" t="s">
        <v>223</v>
      </c>
      <c r="E82" s="2" t="s">
        <v>279</v>
      </c>
    </row>
    <row r="83" customFormat="false" ht="15" hidden="false" customHeight="false" outlineLevel="0" collapsed="false">
      <c r="A83" s="2" t="n">
        <v>4</v>
      </c>
      <c r="B83" s="2" t="s">
        <v>46</v>
      </c>
      <c r="C83" s="2" t="n">
        <v>5</v>
      </c>
      <c r="D83" s="2" t="s">
        <v>223</v>
      </c>
      <c r="E83" s="2" t="s">
        <v>279</v>
      </c>
    </row>
    <row r="84" customFormat="false" ht="15" hidden="false" customHeight="false" outlineLevel="0" collapsed="false">
      <c r="A84" s="2" t="n">
        <v>5</v>
      </c>
      <c r="B84" s="2" t="s">
        <v>52</v>
      </c>
      <c r="C84" s="2" t="n">
        <v>5</v>
      </c>
      <c r="D84" s="2" t="s">
        <v>233</v>
      </c>
      <c r="E84" s="2" t="s">
        <v>279</v>
      </c>
    </row>
    <row r="85" customFormat="false" ht="15" hidden="false" customHeight="false" outlineLevel="0" collapsed="false">
      <c r="A85" s="2" t="n">
        <v>6</v>
      </c>
      <c r="B85" s="2" t="s">
        <v>57</v>
      </c>
      <c r="C85" s="2" t="n">
        <v>5</v>
      </c>
      <c r="D85" s="2" t="s">
        <v>228</v>
      </c>
      <c r="E85" s="2" t="s">
        <v>279</v>
      </c>
    </row>
    <row r="86" customFormat="false" ht="15" hidden="false" customHeight="false" outlineLevel="0" collapsed="false">
      <c r="A86" s="2" t="n">
        <v>7</v>
      </c>
      <c r="B86" s="2" t="s">
        <v>62</v>
      </c>
      <c r="C86" s="2" t="n">
        <v>5</v>
      </c>
      <c r="D86" s="2" t="s">
        <v>228</v>
      </c>
      <c r="E86" s="2" t="s">
        <v>279</v>
      </c>
    </row>
    <row r="87" customFormat="false" ht="15" hidden="false" customHeight="false" outlineLevel="0" collapsed="false">
      <c r="A87" s="2" t="n">
        <v>8</v>
      </c>
      <c r="B87" s="2" t="s">
        <v>66</v>
      </c>
      <c r="C87" s="2" t="n">
        <v>5</v>
      </c>
      <c r="D87" s="2" t="s">
        <v>223</v>
      </c>
      <c r="E87" s="2" t="s">
        <v>279</v>
      </c>
    </row>
    <row r="88" customFormat="false" ht="15" hidden="false" customHeight="false" outlineLevel="0" collapsed="false">
      <c r="A88" s="2" t="n">
        <v>9</v>
      </c>
      <c r="B88" s="2" t="s">
        <v>69</v>
      </c>
      <c r="C88" s="2" t="n">
        <v>5</v>
      </c>
      <c r="D88" s="2" t="s">
        <v>233</v>
      </c>
      <c r="E88" s="2" t="s">
        <v>279</v>
      </c>
    </row>
    <row r="89" customFormat="false" ht="15" hidden="false" customHeight="false" outlineLevel="0" collapsed="false">
      <c r="A89" s="2" t="n">
        <v>10</v>
      </c>
      <c r="B89" s="2" t="s">
        <v>74</v>
      </c>
      <c r="C89" s="2" t="n">
        <v>5</v>
      </c>
      <c r="D89" s="2" t="s">
        <v>233</v>
      </c>
      <c r="E89" s="2" t="s">
        <v>279</v>
      </c>
    </row>
    <row r="90" customFormat="false" ht="15" hidden="false" customHeight="false" outlineLevel="0" collapsed="false">
      <c r="A90" s="2" t="n">
        <v>11</v>
      </c>
      <c r="B90" s="2" t="s">
        <v>78</v>
      </c>
      <c r="C90" s="2" t="n">
        <v>5</v>
      </c>
      <c r="D90" s="2" t="s">
        <v>223</v>
      </c>
      <c r="E90" s="2" t="s">
        <v>279</v>
      </c>
    </row>
    <row r="91" customFormat="false" ht="15" hidden="false" customHeight="false" outlineLevel="0" collapsed="false">
      <c r="A91" s="2" t="n">
        <v>12</v>
      </c>
      <c r="B91" s="2" t="s">
        <v>83</v>
      </c>
      <c r="C91" s="2" t="n">
        <v>5</v>
      </c>
      <c r="D91" s="2" t="s">
        <v>233</v>
      </c>
      <c r="E91" s="2" t="s">
        <v>279</v>
      </c>
    </row>
    <row r="92" customFormat="false" ht="15" hidden="false" customHeight="false" outlineLevel="0" collapsed="false">
      <c r="A92" s="2" t="n">
        <v>13</v>
      </c>
      <c r="B92" s="2" t="s">
        <v>87</v>
      </c>
      <c r="C92" s="2" t="n">
        <v>5</v>
      </c>
      <c r="D92" s="2" t="s">
        <v>223</v>
      </c>
      <c r="E92" s="2" t="s">
        <v>279</v>
      </c>
    </row>
    <row r="93" customFormat="false" ht="15" hidden="false" customHeight="false" outlineLevel="0" collapsed="false">
      <c r="A93" s="2" t="n">
        <v>14</v>
      </c>
      <c r="B93" s="2" t="s">
        <v>92</v>
      </c>
      <c r="C93" s="2" t="n">
        <v>5</v>
      </c>
      <c r="D93" s="2" t="s">
        <v>228</v>
      </c>
      <c r="E93" s="2" t="s">
        <v>71</v>
      </c>
    </row>
    <row r="94" customFormat="false" ht="15" hidden="false" customHeight="false" outlineLevel="0" collapsed="false">
      <c r="A94" s="2" t="n">
        <v>1</v>
      </c>
      <c r="B94" s="2" t="s">
        <v>27</v>
      </c>
      <c r="C94" s="2" t="n">
        <v>6</v>
      </c>
      <c r="D94" s="2" t="s">
        <v>238</v>
      </c>
      <c r="E94" s="2" t="s">
        <v>279</v>
      </c>
    </row>
    <row r="95" customFormat="false" ht="15" hidden="false" customHeight="false" outlineLevel="0" collapsed="false">
      <c r="A95" s="2" t="n">
        <v>2</v>
      </c>
      <c r="B95" s="2" t="s">
        <v>34</v>
      </c>
      <c r="C95" s="2" t="n">
        <v>6</v>
      </c>
      <c r="D95" s="2" t="s">
        <v>238</v>
      </c>
      <c r="E95" s="2" t="s">
        <v>279</v>
      </c>
    </row>
    <row r="96" customFormat="false" ht="15" hidden="false" customHeight="false" outlineLevel="0" collapsed="false">
      <c r="A96" s="2" t="n">
        <v>3</v>
      </c>
      <c r="B96" s="2" t="s">
        <v>40</v>
      </c>
      <c r="C96" s="2" t="n">
        <v>6</v>
      </c>
      <c r="D96" s="2" t="s">
        <v>247</v>
      </c>
      <c r="E96" s="2" t="s">
        <v>279</v>
      </c>
    </row>
    <row r="97" customFormat="false" ht="15" hidden="false" customHeight="false" outlineLevel="0" collapsed="false">
      <c r="A97" s="2" t="n">
        <v>4</v>
      </c>
      <c r="B97" s="2" t="s">
        <v>46</v>
      </c>
      <c r="C97" s="2" t="n">
        <v>6</v>
      </c>
      <c r="D97" s="2" t="s">
        <v>238</v>
      </c>
      <c r="E97" s="2" t="s">
        <v>279</v>
      </c>
    </row>
    <row r="98" customFormat="false" ht="15" hidden="false" customHeight="false" outlineLevel="0" collapsed="false">
      <c r="A98" s="2" t="n">
        <v>5</v>
      </c>
      <c r="B98" s="2" t="s">
        <v>52</v>
      </c>
      <c r="C98" s="2" t="n">
        <v>6</v>
      </c>
      <c r="D98" s="2" t="s">
        <v>242</v>
      </c>
      <c r="E98" s="2" t="s">
        <v>279</v>
      </c>
    </row>
    <row r="99" customFormat="false" ht="15" hidden="false" customHeight="false" outlineLevel="0" collapsed="false">
      <c r="A99" s="2" t="n">
        <v>6</v>
      </c>
      <c r="B99" s="2" t="s">
        <v>57</v>
      </c>
      <c r="C99" s="2" t="n">
        <v>6</v>
      </c>
      <c r="D99" s="2" t="s">
        <v>242</v>
      </c>
      <c r="E99" s="2" t="s">
        <v>279</v>
      </c>
    </row>
    <row r="100" customFormat="false" ht="15" hidden="false" customHeight="false" outlineLevel="0" collapsed="false">
      <c r="A100" s="2" t="n">
        <v>7</v>
      </c>
      <c r="B100" s="2" t="s">
        <v>62</v>
      </c>
      <c r="C100" s="2" t="n">
        <v>6</v>
      </c>
      <c r="D100" s="2" t="s">
        <v>238</v>
      </c>
      <c r="E100" s="2" t="s">
        <v>279</v>
      </c>
    </row>
    <row r="101" customFormat="false" ht="15" hidden="false" customHeight="false" outlineLevel="0" collapsed="false">
      <c r="A101" s="2" t="n">
        <v>8</v>
      </c>
      <c r="B101" s="2" t="s">
        <v>66</v>
      </c>
      <c r="C101" s="2" t="n">
        <v>6</v>
      </c>
      <c r="D101" s="2" t="s">
        <v>238</v>
      </c>
      <c r="E101" s="2" t="s">
        <v>279</v>
      </c>
    </row>
    <row r="102" customFormat="false" ht="15" hidden="false" customHeight="false" outlineLevel="0" collapsed="false">
      <c r="A102" s="2" t="n">
        <v>9</v>
      </c>
      <c r="B102" s="2" t="s">
        <v>69</v>
      </c>
      <c r="C102" s="2" t="n">
        <v>6</v>
      </c>
      <c r="D102" s="2" t="s">
        <v>242</v>
      </c>
      <c r="E102" s="2" t="s">
        <v>279</v>
      </c>
    </row>
    <row r="103" customFormat="false" ht="15" hidden="false" customHeight="false" outlineLevel="0" collapsed="false">
      <c r="A103" s="2" t="n">
        <v>10</v>
      </c>
      <c r="B103" s="2" t="s">
        <v>74</v>
      </c>
      <c r="C103" s="2" t="n">
        <v>6</v>
      </c>
      <c r="D103" s="2" t="s">
        <v>247</v>
      </c>
      <c r="E103" s="2" t="s">
        <v>279</v>
      </c>
    </row>
    <row r="104" customFormat="false" ht="15" hidden="false" customHeight="false" outlineLevel="0" collapsed="false">
      <c r="A104" s="2" t="n">
        <v>11</v>
      </c>
      <c r="B104" s="2" t="s">
        <v>78</v>
      </c>
      <c r="C104" s="2" t="n">
        <v>6</v>
      </c>
      <c r="D104" s="2" t="s">
        <v>247</v>
      </c>
      <c r="E104" s="2" t="s">
        <v>279</v>
      </c>
    </row>
    <row r="105" customFormat="false" ht="15" hidden="false" customHeight="false" outlineLevel="0" collapsed="false">
      <c r="A105" s="2" t="n">
        <v>12</v>
      </c>
      <c r="B105" s="2" t="s">
        <v>83</v>
      </c>
      <c r="C105" s="2" t="n">
        <v>6</v>
      </c>
      <c r="D105" s="2" t="s">
        <v>247</v>
      </c>
      <c r="E105" s="2" t="s">
        <v>71</v>
      </c>
    </row>
    <row r="106" customFormat="false" ht="15" hidden="false" customHeight="false" outlineLevel="0" collapsed="false">
      <c r="A106" s="2" t="n">
        <v>13</v>
      </c>
      <c r="B106" s="2" t="s">
        <v>87</v>
      </c>
      <c r="C106" s="2" t="n">
        <v>6</v>
      </c>
      <c r="D106" s="2" t="s">
        <v>242</v>
      </c>
      <c r="E106" s="2" t="s">
        <v>71</v>
      </c>
    </row>
    <row r="107" customFormat="false" ht="15" hidden="false" customHeight="false" outlineLevel="0" collapsed="false">
      <c r="A107" s="2" t="n">
        <v>1</v>
      </c>
      <c r="B107" s="2" t="s">
        <v>27</v>
      </c>
      <c r="C107" s="2" t="n">
        <v>7</v>
      </c>
      <c r="D107" s="2" t="s">
        <v>261</v>
      </c>
      <c r="E107" s="2" t="s">
        <v>279</v>
      </c>
    </row>
    <row r="108" customFormat="false" ht="15" hidden="false" customHeight="false" outlineLevel="0" collapsed="false">
      <c r="A108" s="2" t="n">
        <v>2</v>
      </c>
      <c r="B108" s="2" t="s">
        <v>34</v>
      </c>
      <c r="C108" s="2" t="n">
        <v>7</v>
      </c>
      <c r="D108" s="2" t="s">
        <v>252</v>
      </c>
      <c r="E108" s="2" t="s">
        <v>279</v>
      </c>
    </row>
    <row r="109" customFormat="false" ht="15" hidden="false" customHeight="false" outlineLevel="0" collapsed="false">
      <c r="A109" s="2" t="n">
        <v>3</v>
      </c>
      <c r="B109" s="2" t="s">
        <v>40</v>
      </c>
      <c r="C109" s="2" t="n">
        <v>7</v>
      </c>
      <c r="D109" s="2" t="s">
        <v>252</v>
      </c>
      <c r="E109" s="2" t="s">
        <v>279</v>
      </c>
    </row>
    <row r="110" customFormat="false" ht="15" hidden="false" customHeight="false" outlineLevel="0" collapsed="false">
      <c r="A110" s="2" t="n">
        <v>4</v>
      </c>
      <c r="B110" s="2" t="s">
        <v>46</v>
      </c>
      <c r="C110" s="2" t="n">
        <v>7</v>
      </c>
      <c r="D110" s="2" t="s">
        <v>257</v>
      </c>
      <c r="E110" s="2" t="s">
        <v>279</v>
      </c>
    </row>
    <row r="111" customFormat="false" ht="15" hidden="false" customHeight="false" outlineLevel="0" collapsed="false">
      <c r="A111" s="2" t="n">
        <v>5</v>
      </c>
      <c r="B111" s="2" t="s">
        <v>52</v>
      </c>
      <c r="C111" s="2" t="n">
        <v>7</v>
      </c>
      <c r="D111" s="2" t="s">
        <v>257</v>
      </c>
      <c r="E111" s="2" t="s">
        <v>279</v>
      </c>
    </row>
    <row r="112" customFormat="false" ht="15" hidden="false" customHeight="false" outlineLevel="0" collapsed="false">
      <c r="A112" s="2" t="n">
        <v>6</v>
      </c>
      <c r="B112" s="2" t="s">
        <v>57</v>
      </c>
      <c r="C112" s="2" t="n">
        <v>7</v>
      </c>
      <c r="D112" s="2" t="s">
        <v>252</v>
      </c>
      <c r="E112" s="2" t="s">
        <v>279</v>
      </c>
    </row>
    <row r="113" customFormat="false" ht="15" hidden="false" customHeight="false" outlineLevel="0" collapsed="false">
      <c r="A113" s="2" t="n">
        <v>7</v>
      </c>
      <c r="B113" s="2" t="s">
        <v>62</v>
      </c>
      <c r="C113" s="2" t="n">
        <v>7</v>
      </c>
      <c r="D113" s="2" t="s">
        <v>261</v>
      </c>
      <c r="E113" s="2" t="s">
        <v>279</v>
      </c>
    </row>
    <row r="114" customFormat="false" ht="15" hidden="false" customHeight="false" outlineLevel="0" collapsed="false">
      <c r="A114" s="2" t="n">
        <v>8</v>
      </c>
      <c r="B114" s="2" t="s">
        <v>66</v>
      </c>
      <c r="C114" s="2" t="n">
        <v>7</v>
      </c>
      <c r="D114" s="2" t="s">
        <v>261</v>
      </c>
      <c r="E114" s="2" t="s">
        <v>279</v>
      </c>
    </row>
    <row r="115" customFormat="false" ht="15" hidden="false" customHeight="false" outlineLevel="0" collapsed="false">
      <c r="A115" s="2" t="n">
        <v>9</v>
      </c>
      <c r="B115" s="2" t="s">
        <v>69</v>
      </c>
      <c r="C115" s="2" t="n">
        <v>7</v>
      </c>
      <c r="D115" s="2" t="s">
        <v>257</v>
      </c>
      <c r="E115" s="2" t="s">
        <v>282</v>
      </c>
    </row>
    <row r="116" customFormat="false" ht="15" hidden="false" customHeight="false" outlineLevel="0" collapsed="false">
      <c r="A116" s="2" t="n">
        <v>10</v>
      </c>
      <c r="B116" s="2" t="s">
        <v>74</v>
      </c>
      <c r="C116" s="2" t="n">
        <v>7</v>
      </c>
      <c r="D116" s="2" t="s">
        <v>261</v>
      </c>
      <c r="E116" s="2" t="s">
        <v>71</v>
      </c>
    </row>
    <row r="117" customFormat="false" ht="15" hidden="false" customHeight="false" outlineLevel="0" collapsed="false">
      <c r="A117" s="2" t="n">
        <v>11</v>
      </c>
      <c r="B117" s="2" t="s">
        <v>78</v>
      </c>
      <c r="C117" s="2" t="n">
        <v>7</v>
      </c>
      <c r="D117" s="2" t="s">
        <v>252</v>
      </c>
      <c r="E117" s="2" t="s">
        <v>71</v>
      </c>
    </row>
    <row r="118" customFormat="false" ht="15" hidden="false" customHeight="false" outlineLevel="0" collapsed="false">
      <c r="A118" s="2" t="n">
        <v>1</v>
      </c>
      <c r="B118" s="2" t="s">
        <v>27</v>
      </c>
      <c r="C118" s="2" t="n">
        <v>8</v>
      </c>
      <c r="D118" s="2" t="s">
        <v>273</v>
      </c>
      <c r="E118" s="2" t="s">
        <v>282</v>
      </c>
    </row>
    <row r="119" customFormat="false" ht="15" hidden="false" customHeight="false" outlineLevel="0" collapsed="false">
      <c r="A119" s="2" t="n">
        <v>2</v>
      </c>
      <c r="B119" s="2" t="s">
        <v>34</v>
      </c>
      <c r="C119" s="2" t="n">
        <v>8</v>
      </c>
      <c r="D119" s="2" t="s">
        <v>273</v>
      </c>
      <c r="E119" s="2" t="s">
        <v>279</v>
      </c>
    </row>
    <row r="120" customFormat="false" ht="15" hidden="false" customHeight="false" outlineLevel="0" collapsed="false">
      <c r="A120" s="2" t="n">
        <v>3</v>
      </c>
      <c r="B120" s="2" t="s">
        <v>40</v>
      </c>
      <c r="C120" s="2" t="n">
        <v>8</v>
      </c>
      <c r="D120" s="2" t="s">
        <v>269</v>
      </c>
      <c r="E120" s="2" t="s">
        <v>279</v>
      </c>
    </row>
    <row r="121" customFormat="false" ht="15" hidden="false" customHeight="false" outlineLevel="0" collapsed="false">
      <c r="A121" s="2" t="n">
        <v>4</v>
      </c>
      <c r="B121" s="2" t="s">
        <v>46</v>
      </c>
      <c r="C121" s="2" t="n">
        <v>8</v>
      </c>
      <c r="D121" s="2" t="s">
        <v>269</v>
      </c>
      <c r="E121" s="2" t="s">
        <v>279</v>
      </c>
    </row>
    <row r="122" customFormat="false" ht="15" hidden="false" customHeight="false" outlineLevel="0" collapsed="false">
      <c r="A122" s="2" t="n">
        <v>5</v>
      </c>
      <c r="B122" s="2" t="s">
        <v>52</v>
      </c>
      <c r="C122" s="2" t="n">
        <v>8</v>
      </c>
      <c r="D122" s="2" t="s">
        <v>265</v>
      </c>
      <c r="E122" s="2" t="s">
        <v>279</v>
      </c>
    </row>
    <row r="123" customFormat="false" ht="15" hidden="false" customHeight="false" outlineLevel="0" collapsed="false">
      <c r="A123" s="2" t="n">
        <v>6</v>
      </c>
      <c r="B123" s="2" t="s">
        <v>57</v>
      </c>
      <c r="C123" s="2" t="n">
        <v>8</v>
      </c>
      <c r="D123" s="2" t="s">
        <v>265</v>
      </c>
      <c r="E123" s="2" t="s">
        <v>279</v>
      </c>
    </row>
    <row r="124" customFormat="false" ht="15" hidden="false" customHeight="false" outlineLevel="0" collapsed="false">
      <c r="A124" s="2" t="n">
        <v>7</v>
      </c>
      <c r="B124" s="2" t="s">
        <v>62</v>
      </c>
      <c r="C124" s="2" t="n">
        <v>8</v>
      </c>
      <c r="D124" s="2" t="s">
        <v>265</v>
      </c>
      <c r="E124" s="2" t="s">
        <v>279</v>
      </c>
    </row>
    <row r="125" customFormat="false" ht="15" hidden="false" customHeight="false" outlineLevel="0" collapsed="false">
      <c r="A125" s="2" t="n">
        <v>8</v>
      </c>
      <c r="B125" s="2" t="s">
        <v>66</v>
      </c>
      <c r="C125" s="2" t="n">
        <v>8</v>
      </c>
      <c r="D125" s="2" t="s">
        <v>269</v>
      </c>
      <c r="E125" s="2" t="s">
        <v>279</v>
      </c>
    </row>
    <row r="126" customFormat="false" ht="15" hidden="false" customHeight="false" outlineLevel="0" collapsed="false">
      <c r="A126" s="2" t="n">
        <v>9</v>
      </c>
      <c r="B126" s="2" t="s">
        <v>69</v>
      </c>
      <c r="C126" s="2" t="n">
        <v>8</v>
      </c>
      <c r="D126" s="2" t="s">
        <v>273</v>
      </c>
      <c r="E126" s="2" t="s">
        <v>71</v>
      </c>
    </row>
    <row r="127" customFormat="false" ht="15" hidden="false" customHeight="false" outlineLevel="0" collapsed="false">
      <c r="A127" s="2" t="n">
        <v>1</v>
      </c>
      <c r="B127" s="2" t="s">
        <v>27</v>
      </c>
      <c r="C127" s="2" t="n">
        <v>9</v>
      </c>
      <c r="D127" s="2"/>
      <c r="E127" s="2" t="s">
        <v>279</v>
      </c>
    </row>
    <row r="128" customFormat="false" ht="15" hidden="false" customHeight="false" outlineLevel="0" collapsed="false">
      <c r="A128" s="2" t="n">
        <v>2</v>
      </c>
      <c r="B128" s="2" t="s">
        <v>34</v>
      </c>
      <c r="C128" s="2" t="n">
        <v>9</v>
      </c>
      <c r="D128" s="2"/>
      <c r="E128" s="2" t="s">
        <v>279</v>
      </c>
    </row>
    <row r="129" customFormat="false" ht="15" hidden="false" customHeight="false" outlineLevel="0" collapsed="false">
      <c r="A129" s="2" t="n">
        <v>3</v>
      </c>
      <c r="B129" s="2" t="s">
        <v>40</v>
      </c>
      <c r="C129" s="2" t="n">
        <v>9</v>
      </c>
      <c r="D129" s="2"/>
      <c r="E129" s="2" t="s">
        <v>279</v>
      </c>
    </row>
    <row r="130" customFormat="false" ht="15" hidden="false" customHeight="false" outlineLevel="0" collapsed="false">
      <c r="A130" s="2" t="n">
        <v>4</v>
      </c>
      <c r="B130" s="2" t="s">
        <v>46</v>
      </c>
      <c r="C130" s="2" t="n">
        <v>9</v>
      </c>
      <c r="D130" s="2"/>
      <c r="E130" s="2" t="s">
        <v>279</v>
      </c>
    </row>
    <row r="131" customFormat="false" ht="15" hidden="false" customHeight="false" outlineLevel="0" collapsed="false">
      <c r="A131" s="2" t="n">
        <v>5</v>
      </c>
      <c r="B131" s="2" t="s">
        <v>52</v>
      </c>
      <c r="C131" s="2" t="n">
        <v>9</v>
      </c>
      <c r="D131" s="2"/>
      <c r="E131" s="2" t="s">
        <v>279</v>
      </c>
    </row>
    <row r="132" customFormat="false" ht="15" hidden="false" customHeight="false" outlineLevel="0" collapsed="false">
      <c r="A132" s="2" t="n">
        <v>6</v>
      </c>
      <c r="B132" s="2" t="s">
        <v>57</v>
      </c>
      <c r="C132" s="2" t="n">
        <v>9</v>
      </c>
      <c r="D132" s="2"/>
      <c r="E132" s="2" t="s">
        <v>279</v>
      </c>
    </row>
    <row r="133" customFormat="false" ht="15" hidden="false" customHeight="false" outlineLevel="0" collapsed="false">
      <c r="A133" s="2" t="n">
        <v>7</v>
      </c>
      <c r="B133" s="2" t="s">
        <v>62</v>
      </c>
      <c r="C133" s="2" t="n">
        <v>9</v>
      </c>
      <c r="D133" s="2"/>
      <c r="E133" s="2" t="s">
        <v>279</v>
      </c>
    </row>
    <row r="134" customFormat="false" ht="15" hidden="false" customHeight="false" outlineLevel="0" collapsed="false">
      <c r="A134" s="2" t="n">
        <v>8</v>
      </c>
      <c r="B134" s="2" t="s">
        <v>66</v>
      </c>
      <c r="C134" s="2" t="n">
        <v>9</v>
      </c>
      <c r="D134" s="2"/>
      <c r="E134" s="2" t="s">
        <v>279</v>
      </c>
    </row>
    <row r="135" customFormat="false" ht="15" hidden="false" customHeight="false" outlineLevel="0" collapsed="false">
      <c r="A135" s="2" t="n">
        <v>1</v>
      </c>
      <c r="B135" s="2" t="s">
        <v>27</v>
      </c>
      <c r="C135" s="2" t="n">
        <v>10</v>
      </c>
      <c r="D135" s="2"/>
      <c r="E135" s="2" t="s">
        <v>29</v>
      </c>
    </row>
    <row r="136" customFormat="false" ht="15" hidden="false" customHeight="false" outlineLevel="0" collapsed="false">
      <c r="A136" s="2" t="n">
        <v>2</v>
      </c>
      <c r="B136" s="2" t="s">
        <v>34</v>
      </c>
      <c r="C136" s="2" t="n">
        <v>10</v>
      </c>
      <c r="D136" s="2"/>
      <c r="E136" s="2" t="s">
        <v>29</v>
      </c>
    </row>
    <row r="137" customFormat="false" ht="15" hidden="false" customHeight="false" outlineLevel="0" collapsed="false">
      <c r="A137" s="2" t="n">
        <v>3</v>
      </c>
      <c r="B137" s="2" t="s">
        <v>40</v>
      </c>
      <c r="C137" s="2" t="n">
        <v>10</v>
      </c>
      <c r="D137" s="2"/>
      <c r="E137" s="2" t="s">
        <v>29</v>
      </c>
    </row>
    <row r="138" customFormat="false" ht="15" hidden="false" customHeight="false" outlineLevel="0" collapsed="false">
      <c r="A138" s="2" t="n">
        <v>4</v>
      </c>
      <c r="B138" s="2" t="s">
        <v>46</v>
      </c>
      <c r="C138" s="2" t="n">
        <v>10</v>
      </c>
      <c r="D138" s="2"/>
      <c r="E138" s="2" t="s">
        <v>29</v>
      </c>
    </row>
    <row r="139" customFormat="false" ht="15" hidden="false" customHeight="false" outlineLevel="0" collapsed="false">
      <c r="A139" s="2" t="n">
        <v>5</v>
      </c>
      <c r="B139" s="2" t="s">
        <v>52</v>
      </c>
      <c r="C139" s="2" t="n">
        <v>10</v>
      </c>
      <c r="D139" s="2"/>
      <c r="E139" s="2" t="s">
        <v>29</v>
      </c>
    </row>
    <row r="140" customFormat="false" ht="15" hidden="false" customHeight="false" outlineLevel="0" collapsed="false">
      <c r="A140" s="2" t="n">
        <v>6</v>
      </c>
      <c r="B140" s="2" t="s">
        <v>57</v>
      </c>
      <c r="C140" s="2" t="n">
        <v>10</v>
      </c>
      <c r="D140" s="2"/>
      <c r="E140" s="2" t="s">
        <v>71</v>
      </c>
    </row>
    <row r="141" customFormat="false" ht="15" hidden="false" customHeight="false" outlineLevel="0" collapsed="false">
      <c r="A141" s="2" t="n">
        <v>7</v>
      </c>
      <c r="B141" s="2" t="s">
        <v>62</v>
      </c>
      <c r="C141" s="2" t="n">
        <v>10</v>
      </c>
      <c r="D141" s="2"/>
      <c r="E141" s="2" t="s">
        <v>71</v>
      </c>
    </row>
    <row r="142" customFormat="false" ht="15" hidden="false" customHeight="false" outlineLevel="0" collapsed="false">
      <c r="A142" s="2" t="n">
        <v>8</v>
      </c>
      <c r="B142" s="2" t="s">
        <v>66</v>
      </c>
      <c r="C142" s="2" t="n">
        <v>10</v>
      </c>
      <c r="D142" s="2"/>
      <c r="E142" s="2" t="s">
        <v>71</v>
      </c>
    </row>
  </sheetData>
  <autoFilter ref="A1:E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7" min="6" style="0" width="45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4" t="s">
        <v>283</v>
      </c>
      <c r="B1" s="4" t="s">
        <v>284</v>
      </c>
      <c r="C1" s="4" t="s">
        <v>285</v>
      </c>
      <c r="D1" s="4" t="s">
        <v>286</v>
      </c>
      <c r="E1" s="4" t="s">
        <v>14</v>
      </c>
      <c r="F1" s="4" t="s">
        <v>287</v>
      </c>
      <c r="G1" s="4" t="s">
        <v>288</v>
      </c>
      <c r="H1" s="4" t="s">
        <v>289</v>
      </c>
    </row>
    <row r="2" customFormat="false" ht="23.85" hidden="false" customHeight="false" outlineLevel="0" collapsed="false">
      <c r="A2" s="2" t="s">
        <v>34</v>
      </c>
      <c r="B2" s="2" t="s">
        <v>290</v>
      </c>
      <c r="C2" s="5" t="n">
        <v>37232</v>
      </c>
      <c r="D2" s="2" t="n">
        <v>15</v>
      </c>
      <c r="E2" s="2" t="s">
        <v>35</v>
      </c>
      <c r="F2" s="2" t="s">
        <v>36</v>
      </c>
      <c r="G2" s="2" t="s">
        <v>291</v>
      </c>
      <c r="H2" s="2" t="s">
        <v>292</v>
      </c>
    </row>
    <row r="3" customFormat="false" ht="23.85" hidden="false" customHeight="false" outlineLevel="0" collapsed="false">
      <c r="A3" s="2" t="s">
        <v>46</v>
      </c>
      <c r="B3" s="2" t="s">
        <v>293</v>
      </c>
      <c r="C3" s="5" t="n">
        <v>35744</v>
      </c>
      <c r="D3" s="2" t="n">
        <v>19</v>
      </c>
      <c r="E3" s="2" t="s">
        <v>47</v>
      </c>
      <c r="F3" s="2" t="s">
        <v>48</v>
      </c>
      <c r="G3" s="2"/>
      <c r="H3" s="2" t="s">
        <v>294</v>
      </c>
    </row>
    <row r="4" customFormat="false" ht="15" hidden="false" customHeight="false" outlineLevel="0" collapsed="false">
      <c r="A4" s="2" t="s">
        <v>52</v>
      </c>
      <c r="B4" s="2" t="s">
        <v>295</v>
      </c>
      <c r="C4" s="5" t="n">
        <v>35726</v>
      </c>
      <c r="D4" s="2" t="n">
        <v>19</v>
      </c>
      <c r="E4" s="2" t="s">
        <v>53</v>
      </c>
      <c r="F4" s="2" t="s">
        <v>54</v>
      </c>
      <c r="G4" s="2" t="s">
        <v>296</v>
      </c>
      <c r="H4" s="2" t="s">
        <v>297</v>
      </c>
    </row>
    <row r="5" customFormat="false" ht="15" hidden="false" customHeight="false" outlineLevel="0" collapsed="false">
      <c r="A5" s="2" t="s">
        <v>27</v>
      </c>
      <c r="B5" s="2" t="s">
        <v>298</v>
      </c>
      <c r="C5" s="5" t="n">
        <v>36805</v>
      </c>
      <c r="D5" s="2" t="n">
        <v>16</v>
      </c>
      <c r="E5" s="2" t="s">
        <v>28</v>
      </c>
      <c r="F5" s="2" t="s">
        <v>299</v>
      </c>
      <c r="G5" s="2" t="s">
        <v>300</v>
      </c>
      <c r="H5" s="2" t="s">
        <v>301</v>
      </c>
    </row>
    <row r="6" customFormat="false" ht="23.85" hidden="false" customHeight="false" outlineLevel="0" collapsed="false">
      <c r="A6" s="2" t="s">
        <v>302</v>
      </c>
      <c r="B6" s="2" t="s">
        <v>303</v>
      </c>
      <c r="C6" s="5" t="n">
        <v>36318</v>
      </c>
      <c r="D6" s="2" t="n">
        <v>18</v>
      </c>
      <c r="E6" s="2" t="s">
        <v>304</v>
      </c>
      <c r="F6" s="2" t="s">
        <v>43</v>
      </c>
      <c r="G6" s="2" t="s">
        <v>305</v>
      </c>
      <c r="H6" s="2" t="s">
        <v>306</v>
      </c>
    </row>
  </sheetData>
  <autoFilter ref="A1:H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42"/>
  </cols>
  <sheetData>
    <row r="1" customFormat="false" ht="23.85" hidden="false" customHeight="false" outlineLevel="0" collapsed="false">
      <c r="A1" s="4" t="s">
        <v>149</v>
      </c>
      <c r="B1" s="4" t="s">
        <v>307</v>
      </c>
      <c r="C1" s="4" t="s">
        <v>308</v>
      </c>
      <c r="D1" s="4" t="s">
        <v>309</v>
      </c>
      <c r="E1" s="4" t="s">
        <v>310</v>
      </c>
      <c r="F1" s="4" t="s">
        <v>311</v>
      </c>
      <c r="G1" s="4" t="s">
        <v>25</v>
      </c>
      <c r="H1" s="4" t="s">
        <v>312</v>
      </c>
    </row>
    <row r="2" customFormat="false" ht="23.85" hidden="false" customHeight="false" outlineLevel="0" collapsed="false">
      <c r="A2" s="2" t="s">
        <v>313</v>
      </c>
      <c r="B2" s="2" t="s">
        <v>314</v>
      </c>
      <c r="C2" s="2" t="s">
        <v>315</v>
      </c>
      <c r="D2" s="2" t="s">
        <v>316</v>
      </c>
      <c r="E2" s="2" t="n">
        <v>1</v>
      </c>
      <c r="F2" s="2"/>
      <c r="G2" s="2" t="s">
        <v>317</v>
      </c>
      <c r="H2" s="2" t="s">
        <v>196</v>
      </c>
    </row>
    <row r="3" customFormat="false" ht="15" hidden="false" customHeight="false" outlineLevel="0" collapsed="false">
      <c r="A3" s="2" t="s">
        <v>318</v>
      </c>
      <c r="B3" s="2" t="s">
        <v>319</v>
      </c>
      <c r="C3" s="2" t="s">
        <v>320</v>
      </c>
      <c r="D3" s="2" t="s">
        <v>321</v>
      </c>
      <c r="E3" s="2"/>
      <c r="F3" s="2"/>
      <c r="G3" s="2" t="s">
        <v>322</v>
      </c>
      <c r="H3" s="2" t="s">
        <v>196</v>
      </c>
    </row>
    <row r="4" customFormat="false" ht="23.85" hidden="false" customHeight="false" outlineLevel="0" collapsed="false">
      <c r="A4" s="2" t="s">
        <v>323</v>
      </c>
      <c r="B4" s="2" t="s">
        <v>314</v>
      </c>
      <c r="C4" s="2" t="s">
        <v>324</v>
      </c>
      <c r="D4" s="2" t="s">
        <v>325</v>
      </c>
      <c r="E4" s="2" t="n">
        <v>2</v>
      </c>
      <c r="F4" s="2" t="n">
        <v>29</v>
      </c>
      <c r="G4" s="2" t="s">
        <v>326</v>
      </c>
      <c r="H4" s="2" t="s">
        <v>327</v>
      </c>
    </row>
    <row r="5" customFormat="false" ht="15" hidden="false" customHeight="false" outlineLevel="0" collapsed="false">
      <c r="A5" s="2" t="s">
        <v>328</v>
      </c>
      <c r="B5" s="2" t="s">
        <v>314</v>
      </c>
      <c r="C5" s="2" t="s">
        <v>329</v>
      </c>
      <c r="D5" s="2" t="s">
        <v>321</v>
      </c>
      <c r="E5" s="2" t="n">
        <v>3</v>
      </c>
      <c r="F5" s="2"/>
      <c r="G5" s="2" t="s">
        <v>330</v>
      </c>
      <c r="H5" s="2" t="s">
        <v>331</v>
      </c>
    </row>
    <row r="6" customFormat="false" ht="15" hidden="false" customHeight="false" outlineLevel="0" collapsed="false">
      <c r="A6" s="2" t="s">
        <v>332</v>
      </c>
      <c r="B6" s="2" t="s">
        <v>314</v>
      </c>
      <c r="C6" s="2" t="s">
        <v>333</v>
      </c>
      <c r="D6" s="2" t="s">
        <v>325</v>
      </c>
      <c r="E6" s="2" t="n">
        <v>4</v>
      </c>
      <c r="F6" s="2"/>
      <c r="G6" s="2" t="s">
        <v>334</v>
      </c>
      <c r="H6" s="2" t="s">
        <v>196</v>
      </c>
    </row>
    <row r="7" customFormat="false" ht="15" hidden="false" customHeight="false" outlineLevel="0" collapsed="false">
      <c r="A7" s="2" t="s">
        <v>335</v>
      </c>
      <c r="B7" s="2" t="s">
        <v>314</v>
      </c>
      <c r="C7" s="2" t="s">
        <v>329</v>
      </c>
      <c r="D7" s="2" t="s">
        <v>321</v>
      </c>
      <c r="E7" s="2" t="n">
        <v>5</v>
      </c>
      <c r="F7" s="2"/>
      <c r="G7" s="2"/>
      <c r="H7" s="2" t="s">
        <v>331</v>
      </c>
    </row>
    <row r="8" customFormat="false" ht="23.85" hidden="false" customHeight="false" outlineLevel="0" collapsed="false">
      <c r="A8" s="2" t="s">
        <v>336</v>
      </c>
      <c r="B8" s="2" t="s">
        <v>314</v>
      </c>
      <c r="C8" s="2" t="s">
        <v>337</v>
      </c>
      <c r="D8" s="2" t="s">
        <v>316</v>
      </c>
      <c r="E8" s="2" t="n">
        <v>6</v>
      </c>
      <c r="F8" s="2" t="n">
        <v>40</v>
      </c>
      <c r="G8" s="2" t="s">
        <v>338</v>
      </c>
      <c r="H8" s="2" t="s">
        <v>339</v>
      </c>
    </row>
    <row r="9" customFormat="false" ht="15" hidden="false" customHeight="false" outlineLevel="0" collapsed="false">
      <c r="A9" s="2" t="s">
        <v>340</v>
      </c>
      <c r="B9" s="2" t="s">
        <v>314</v>
      </c>
      <c r="C9" s="2" t="s">
        <v>341</v>
      </c>
      <c r="D9" s="2" t="s">
        <v>321</v>
      </c>
      <c r="E9" s="2"/>
      <c r="F9" s="2"/>
      <c r="G9" s="2"/>
      <c r="H9" s="2" t="s">
        <v>196</v>
      </c>
    </row>
    <row r="10" customFormat="false" ht="15" hidden="false" customHeight="false" outlineLevel="0" collapsed="false">
      <c r="A10" s="2" t="s">
        <v>342</v>
      </c>
      <c r="B10" s="2" t="s">
        <v>314</v>
      </c>
      <c r="C10" s="2" t="s">
        <v>341</v>
      </c>
      <c r="D10" s="2" t="s">
        <v>321</v>
      </c>
      <c r="E10" s="2"/>
      <c r="F10" s="2"/>
      <c r="G10" s="2"/>
      <c r="H10" s="2" t="s">
        <v>196</v>
      </c>
    </row>
    <row r="11" customFormat="false" ht="23.85" hidden="false" customHeight="false" outlineLevel="0" collapsed="false">
      <c r="A11" s="2" t="s">
        <v>343</v>
      </c>
      <c r="B11" s="2" t="s">
        <v>344</v>
      </c>
      <c r="C11" s="2" t="s">
        <v>345</v>
      </c>
      <c r="D11" s="2" t="s">
        <v>316</v>
      </c>
      <c r="E11" s="2"/>
      <c r="F11" s="2"/>
      <c r="G11" s="2" t="s">
        <v>346</v>
      </c>
      <c r="H11" s="2" t="s">
        <v>196</v>
      </c>
    </row>
    <row r="12" customFormat="false" ht="15" hidden="false" customHeight="false" outlineLevel="0" collapsed="false">
      <c r="A12" s="2" t="s">
        <v>347</v>
      </c>
      <c r="B12" s="2" t="s">
        <v>348</v>
      </c>
      <c r="C12" s="2" t="s">
        <v>341</v>
      </c>
      <c r="D12" s="2" t="s">
        <v>321</v>
      </c>
      <c r="E12" s="2"/>
      <c r="F12" s="2"/>
      <c r="G12" s="2" t="s">
        <v>349</v>
      </c>
      <c r="H12" s="2" t="s">
        <v>196</v>
      </c>
    </row>
    <row r="13" customFormat="false" ht="15" hidden="false" customHeight="false" outlineLevel="0" collapsed="false">
      <c r="A13" s="2" t="s">
        <v>350</v>
      </c>
      <c r="B13" s="2" t="s">
        <v>348</v>
      </c>
      <c r="C13" s="2" t="s">
        <v>341</v>
      </c>
      <c r="D13" s="2" t="s">
        <v>321</v>
      </c>
      <c r="E13" s="2"/>
      <c r="F13" s="2"/>
      <c r="G13" s="2" t="s">
        <v>351</v>
      </c>
      <c r="H13" s="2" t="s">
        <v>196</v>
      </c>
    </row>
    <row r="14" customFormat="false" ht="15" hidden="false" customHeight="false" outlineLevel="0" collapsed="false">
      <c r="A14" s="2" t="s">
        <v>352</v>
      </c>
      <c r="B14" s="2" t="s">
        <v>319</v>
      </c>
      <c r="C14" s="2" t="s">
        <v>353</v>
      </c>
      <c r="D14" s="2" t="s">
        <v>316</v>
      </c>
      <c r="E14" s="2"/>
      <c r="F14" s="2"/>
      <c r="G14" s="2" t="s">
        <v>354</v>
      </c>
      <c r="H14" s="2" t="s">
        <v>355</v>
      </c>
    </row>
  </sheetData>
  <autoFilter ref="A1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5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4" t="s">
        <v>356</v>
      </c>
      <c r="B1" s="4" t="s">
        <v>309</v>
      </c>
      <c r="C1" s="4" t="s">
        <v>357</v>
      </c>
      <c r="D1" s="4" t="s">
        <v>358</v>
      </c>
      <c r="E1" s="4" t="s">
        <v>359</v>
      </c>
      <c r="F1" s="4" t="s">
        <v>312</v>
      </c>
    </row>
    <row r="2" customFormat="false" ht="15" hidden="false" customHeight="false" outlineLevel="0" collapsed="false">
      <c r="A2" s="2" t="s">
        <v>360</v>
      </c>
      <c r="B2" s="2" t="s">
        <v>316</v>
      </c>
      <c r="C2" s="2" t="s">
        <v>361</v>
      </c>
      <c r="D2" s="2" t="s">
        <v>362</v>
      </c>
      <c r="E2" s="2"/>
      <c r="F2" s="2"/>
    </row>
    <row r="3" customFormat="false" ht="23.85" hidden="false" customHeight="false" outlineLevel="0" collapsed="false">
      <c r="A3" s="2" t="s">
        <v>156</v>
      </c>
      <c r="B3" s="2" t="s">
        <v>316</v>
      </c>
      <c r="C3" s="2" t="s">
        <v>361</v>
      </c>
      <c r="D3" s="2" t="s">
        <v>363</v>
      </c>
      <c r="E3" s="2" t="s">
        <v>364</v>
      </c>
      <c r="F3" s="2" t="s">
        <v>196</v>
      </c>
    </row>
    <row r="4" customFormat="false" ht="15" hidden="false" customHeight="false" outlineLevel="0" collapsed="false">
      <c r="A4" s="2" t="s">
        <v>183</v>
      </c>
      <c r="B4" s="2" t="s">
        <v>316</v>
      </c>
      <c r="C4" s="2" t="s">
        <v>361</v>
      </c>
      <c r="D4" s="2" t="s">
        <v>365</v>
      </c>
      <c r="E4" s="2" t="s">
        <v>366</v>
      </c>
      <c r="F4" s="2" t="s">
        <v>196</v>
      </c>
    </row>
    <row r="5" customFormat="false" ht="15" hidden="false" customHeight="false" outlineLevel="0" collapsed="false">
      <c r="A5" s="2" t="s">
        <v>315</v>
      </c>
      <c r="B5" s="2" t="s">
        <v>316</v>
      </c>
      <c r="C5" s="2" t="s">
        <v>367</v>
      </c>
      <c r="D5" s="2" t="s">
        <v>368</v>
      </c>
      <c r="E5" s="2" t="s">
        <v>369</v>
      </c>
      <c r="F5" s="2" t="s">
        <v>196</v>
      </c>
    </row>
    <row r="6" customFormat="false" ht="15" hidden="false" customHeight="false" outlineLevel="0" collapsed="false">
      <c r="A6" s="2" t="s">
        <v>370</v>
      </c>
      <c r="B6" s="2" t="s">
        <v>316</v>
      </c>
      <c r="C6" s="2" t="s">
        <v>371</v>
      </c>
      <c r="D6" s="2" t="s">
        <v>372</v>
      </c>
      <c r="E6" s="2" t="s">
        <v>373</v>
      </c>
      <c r="F6" s="2" t="s">
        <v>196</v>
      </c>
    </row>
    <row r="7" customFormat="false" ht="15" hidden="false" customHeight="false" outlineLevel="0" collapsed="false">
      <c r="A7" s="2" t="s">
        <v>374</v>
      </c>
      <c r="B7" s="2" t="s">
        <v>325</v>
      </c>
      <c r="C7" s="2" t="s">
        <v>371</v>
      </c>
      <c r="D7" s="2" t="s">
        <v>375</v>
      </c>
      <c r="E7" s="2" t="s">
        <v>376</v>
      </c>
      <c r="F7" s="2" t="s">
        <v>196</v>
      </c>
    </row>
    <row r="8" customFormat="false" ht="15" hidden="false" customHeight="false" outlineLevel="0" collapsed="false">
      <c r="A8" s="2" t="s">
        <v>377</v>
      </c>
      <c r="B8" s="2" t="s">
        <v>316</v>
      </c>
      <c r="C8" s="2" t="s">
        <v>371</v>
      </c>
      <c r="D8" s="2" t="s">
        <v>378</v>
      </c>
      <c r="E8" s="2" t="s">
        <v>379</v>
      </c>
      <c r="F8" s="2" t="s">
        <v>196</v>
      </c>
    </row>
    <row r="9" customFormat="false" ht="15" hidden="false" customHeight="false" outlineLevel="0" collapsed="false">
      <c r="A9" s="2" t="s">
        <v>380</v>
      </c>
      <c r="B9" s="2" t="s">
        <v>316</v>
      </c>
      <c r="C9" s="2" t="s">
        <v>371</v>
      </c>
      <c r="D9" s="2" t="s">
        <v>381</v>
      </c>
      <c r="E9" s="2"/>
      <c r="F9" s="2" t="s">
        <v>196</v>
      </c>
    </row>
    <row r="10" customFormat="false" ht="15" hidden="false" customHeight="false" outlineLevel="0" collapsed="false">
      <c r="A10" s="2" t="s">
        <v>382</v>
      </c>
      <c r="B10" s="2" t="s">
        <v>316</v>
      </c>
      <c r="C10" s="2" t="s">
        <v>383</v>
      </c>
      <c r="D10" s="2" t="s">
        <v>384</v>
      </c>
      <c r="E10" s="2"/>
      <c r="F10" s="2" t="s">
        <v>196</v>
      </c>
    </row>
    <row r="11" customFormat="false" ht="15" hidden="false" customHeight="false" outlineLevel="0" collapsed="false">
      <c r="A11" s="2" t="s">
        <v>385</v>
      </c>
      <c r="B11" s="2" t="s">
        <v>325</v>
      </c>
      <c r="C11" s="2" t="s">
        <v>371</v>
      </c>
      <c r="D11" s="2" t="s">
        <v>386</v>
      </c>
      <c r="E11" s="2"/>
      <c r="F11" s="2" t="s">
        <v>196</v>
      </c>
    </row>
    <row r="12" customFormat="false" ht="15" hidden="false" customHeight="false" outlineLevel="0" collapsed="false">
      <c r="A12" s="2" t="s">
        <v>387</v>
      </c>
      <c r="B12" s="2" t="s">
        <v>316</v>
      </c>
      <c r="C12" s="2" t="s">
        <v>388</v>
      </c>
      <c r="D12" s="2" t="s">
        <v>389</v>
      </c>
      <c r="E12" s="2"/>
      <c r="F12" s="2" t="s">
        <v>196</v>
      </c>
    </row>
    <row r="13" customFormat="false" ht="15" hidden="false" customHeight="false" outlineLevel="0" collapsed="false">
      <c r="A13" s="2" t="s">
        <v>390</v>
      </c>
      <c r="B13" s="2" t="s">
        <v>316</v>
      </c>
      <c r="C13" s="2" t="s">
        <v>388</v>
      </c>
      <c r="D13" s="2" t="s">
        <v>391</v>
      </c>
      <c r="E13" s="2" t="s">
        <v>392</v>
      </c>
      <c r="F13" s="2" t="s">
        <v>196</v>
      </c>
    </row>
    <row r="14" customFormat="false" ht="23.85" hidden="false" customHeight="false" outlineLevel="0" collapsed="false">
      <c r="A14" s="2" t="s">
        <v>393</v>
      </c>
      <c r="B14" s="2" t="s">
        <v>316</v>
      </c>
      <c r="C14" s="2" t="s">
        <v>388</v>
      </c>
      <c r="D14" s="2" t="s">
        <v>394</v>
      </c>
      <c r="E14" s="2"/>
      <c r="F14" s="2" t="s">
        <v>196</v>
      </c>
    </row>
    <row r="15" customFormat="false" ht="15" hidden="false" customHeight="false" outlineLevel="0" collapsed="false">
      <c r="A15" s="2" t="s">
        <v>395</v>
      </c>
      <c r="B15" s="2" t="s">
        <v>316</v>
      </c>
      <c r="C15" s="2" t="s">
        <v>388</v>
      </c>
      <c r="D15" s="2" t="s">
        <v>396</v>
      </c>
      <c r="E15" s="2" t="s">
        <v>397</v>
      </c>
      <c r="F15" s="2" t="s">
        <v>196</v>
      </c>
    </row>
    <row r="16" customFormat="false" ht="15" hidden="false" customHeight="false" outlineLevel="0" collapsed="false">
      <c r="A16" s="2" t="s">
        <v>337</v>
      </c>
      <c r="B16" s="2" t="s">
        <v>316</v>
      </c>
      <c r="C16" s="2" t="s">
        <v>367</v>
      </c>
      <c r="D16" s="2" t="s">
        <v>398</v>
      </c>
      <c r="E16" s="2"/>
      <c r="F16" s="2" t="s">
        <v>196</v>
      </c>
    </row>
    <row r="17" customFormat="false" ht="15" hidden="false" customHeight="false" outlineLevel="0" collapsed="false">
      <c r="A17" s="2" t="s">
        <v>341</v>
      </c>
      <c r="B17" s="2" t="s">
        <v>321</v>
      </c>
      <c r="C17" s="2" t="s">
        <v>399</v>
      </c>
      <c r="D17" s="2" t="s">
        <v>400</v>
      </c>
      <c r="E17" s="2" t="s">
        <v>401</v>
      </c>
      <c r="F17" s="2" t="s">
        <v>196</v>
      </c>
    </row>
    <row r="18" customFormat="false" ht="15" hidden="false" customHeight="false" outlineLevel="0" collapsed="false">
      <c r="A18" s="2" t="s">
        <v>345</v>
      </c>
      <c r="B18" s="2" t="s">
        <v>316</v>
      </c>
      <c r="C18" s="2" t="s">
        <v>367</v>
      </c>
      <c r="D18" s="2" t="s">
        <v>402</v>
      </c>
      <c r="E18" s="2"/>
      <c r="F18" s="2" t="s">
        <v>196</v>
      </c>
    </row>
    <row r="19" customFormat="false" ht="15" hidden="false" customHeight="false" outlineLevel="0" collapsed="false">
      <c r="A19" s="2" t="s">
        <v>403</v>
      </c>
      <c r="B19" s="2" t="s">
        <v>316</v>
      </c>
      <c r="C19" s="2" t="s">
        <v>388</v>
      </c>
      <c r="D19" s="2" t="s">
        <v>404</v>
      </c>
      <c r="E19" s="2"/>
      <c r="F19" s="2" t="s">
        <v>196</v>
      </c>
    </row>
    <row r="20" customFormat="false" ht="15" hidden="false" customHeight="false" outlineLevel="0" collapsed="false">
      <c r="A20" s="2" t="s">
        <v>405</v>
      </c>
      <c r="B20" s="2" t="s">
        <v>316</v>
      </c>
      <c r="C20" s="2" t="s">
        <v>388</v>
      </c>
      <c r="D20" s="2" t="s">
        <v>406</v>
      </c>
      <c r="E20" s="2" t="s">
        <v>407</v>
      </c>
      <c r="F20" s="2" t="s">
        <v>196</v>
      </c>
    </row>
    <row r="21" customFormat="false" ht="15" hidden="false" customHeight="false" outlineLevel="0" collapsed="false">
      <c r="A21" s="2" t="s">
        <v>353</v>
      </c>
      <c r="B21" s="2" t="s">
        <v>316</v>
      </c>
      <c r="C21" s="2" t="s">
        <v>367</v>
      </c>
      <c r="D21" s="2" t="s">
        <v>408</v>
      </c>
      <c r="E21" s="2"/>
      <c r="F21" s="2" t="s">
        <v>409</v>
      </c>
    </row>
    <row r="22" customFormat="false" ht="15" hidden="false" customHeight="false" outlineLevel="0" collapsed="false">
      <c r="A22" s="2" t="s">
        <v>410</v>
      </c>
      <c r="B22" s="2" t="s">
        <v>316</v>
      </c>
      <c r="C22" s="2" t="s">
        <v>411</v>
      </c>
      <c r="D22" s="2" t="s">
        <v>412</v>
      </c>
      <c r="E22" s="2" t="s">
        <v>413</v>
      </c>
      <c r="F22" s="2" t="s">
        <v>196</v>
      </c>
    </row>
    <row r="23" customFormat="false" ht="15" hidden="false" customHeight="false" outlineLevel="0" collapsed="false">
      <c r="A23" s="2" t="s">
        <v>414</v>
      </c>
      <c r="B23" s="2" t="s">
        <v>316</v>
      </c>
      <c r="C23" s="2" t="s">
        <v>415</v>
      </c>
      <c r="D23" s="2" t="s">
        <v>416</v>
      </c>
      <c r="E23" s="2"/>
      <c r="F23" s="2" t="s">
        <v>196</v>
      </c>
    </row>
    <row r="24" customFormat="false" ht="15" hidden="false" customHeight="false" outlineLevel="0" collapsed="false">
      <c r="A24" s="2" t="s">
        <v>417</v>
      </c>
      <c r="B24" s="2" t="s">
        <v>316</v>
      </c>
      <c r="C24" s="2" t="s">
        <v>415</v>
      </c>
      <c r="D24" s="2" t="s">
        <v>418</v>
      </c>
      <c r="E24" s="2"/>
      <c r="F24" s="2" t="s">
        <v>196</v>
      </c>
    </row>
    <row r="25" customFormat="false" ht="23.85" hidden="false" customHeight="false" outlineLevel="0" collapsed="false">
      <c r="A25" s="2" t="s">
        <v>419</v>
      </c>
      <c r="B25" s="2" t="s">
        <v>321</v>
      </c>
      <c r="C25" s="2" t="s">
        <v>415</v>
      </c>
      <c r="D25" s="2" t="s">
        <v>420</v>
      </c>
      <c r="E25" s="2"/>
      <c r="F25" s="2" t="s">
        <v>196</v>
      </c>
    </row>
    <row r="26" customFormat="false" ht="15" hidden="false" customHeight="false" outlineLevel="0" collapsed="false">
      <c r="A26" s="2" t="s">
        <v>421</v>
      </c>
      <c r="B26" s="2" t="s">
        <v>321</v>
      </c>
      <c r="C26" s="2" t="s">
        <v>415</v>
      </c>
      <c r="D26" s="2" t="s">
        <v>422</v>
      </c>
      <c r="E26" s="2"/>
      <c r="F26" s="2" t="s">
        <v>196</v>
      </c>
    </row>
  </sheetData>
  <autoFilter ref="A1:F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5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4" t="s">
        <v>388</v>
      </c>
      <c r="B1" s="4" t="s">
        <v>423</v>
      </c>
      <c r="C1" s="4" t="s">
        <v>424</v>
      </c>
      <c r="D1" s="4" t="s">
        <v>425</v>
      </c>
      <c r="E1" s="4" t="s">
        <v>426</v>
      </c>
      <c r="F1" s="4" t="s">
        <v>427</v>
      </c>
      <c r="G1" s="4" t="s">
        <v>25</v>
      </c>
    </row>
    <row r="2" customFormat="false" ht="15" hidden="false" customHeight="false" outlineLevel="0" collapsed="false">
      <c r="A2" s="2" t="s">
        <v>428</v>
      </c>
      <c r="B2" s="2" t="s">
        <v>393</v>
      </c>
      <c r="C2" s="2" t="s">
        <v>429</v>
      </c>
      <c r="D2" s="2" t="s">
        <v>430</v>
      </c>
      <c r="E2" s="2"/>
      <c r="F2" s="2"/>
      <c r="G2" s="2" t="s">
        <v>431</v>
      </c>
    </row>
    <row r="3" customFormat="false" ht="15" hidden="false" customHeight="false" outlineLevel="0" collapsed="false">
      <c r="A3" s="2" t="s">
        <v>432</v>
      </c>
      <c r="B3" s="2" t="s">
        <v>395</v>
      </c>
      <c r="C3" s="2" t="s">
        <v>433</v>
      </c>
      <c r="D3" s="2" t="s">
        <v>434</v>
      </c>
      <c r="E3" s="2" t="n">
        <v>27</v>
      </c>
      <c r="F3" s="2" t="s">
        <v>435</v>
      </c>
      <c r="G3" s="2" t="s">
        <v>436</v>
      </c>
    </row>
    <row r="4" customFormat="false" ht="15" hidden="false" customHeight="false" outlineLevel="0" collapsed="false">
      <c r="A4" s="2" t="s">
        <v>437</v>
      </c>
      <c r="B4" s="2" t="s">
        <v>405</v>
      </c>
      <c r="C4" s="2" t="s">
        <v>438</v>
      </c>
      <c r="D4" s="2" t="s">
        <v>439</v>
      </c>
      <c r="E4" s="2" t="n">
        <v>14</v>
      </c>
      <c r="F4" s="2" t="s">
        <v>440</v>
      </c>
      <c r="G4" s="2" t="s">
        <v>441</v>
      </c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356</v>
      </c>
      <c r="B1" s="4" t="s">
        <v>442</v>
      </c>
      <c r="C1" s="4" t="s">
        <v>443</v>
      </c>
      <c r="D1" s="4" t="s">
        <v>307</v>
      </c>
      <c r="E1" s="4" t="s">
        <v>359</v>
      </c>
    </row>
    <row r="2" customFormat="false" ht="15" hidden="false" customHeight="false" outlineLevel="0" collapsed="false">
      <c r="A2" s="2" t="s">
        <v>156</v>
      </c>
      <c r="B2" s="2" t="s">
        <v>444</v>
      </c>
      <c r="C2" s="2" t="s">
        <v>445</v>
      </c>
      <c r="D2" s="2" t="s">
        <v>446</v>
      </c>
      <c r="E2" s="2" t="s">
        <v>447</v>
      </c>
    </row>
    <row r="3" customFormat="false" ht="15" hidden="false" customHeight="false" outlineLevel="0" collapsed="false">
      <c r="A3" s="2" t="s">
        <v>183</v>
      </c>
      <c r="B3" s="2" t="s">
        <v>448</v>
      </c>
      <c r="C3" s="2" t="s">
        <v>445</v>
      </c>
      <c r="D3" s="2" t="s">
        <v>449</v>
      </c>
      <c r="E3" s="2" t="s">
        <v>450</v>
      </c>
    </row>
    <row r="4" customFormat="false" ht="15" hidden="false" customHeight="false" outlineLevel="0" collapsed="false">
      <c r="A4" s="2" t="s">
        <v>370</v>
      </c>
      <c r="B4" s="2" t="s">
        <v>451</v>
      </c>
      <c r="C4" s="2" t="s">
        <v>452</v>
      </c>
      <c r="D4" s="2" t="s">
        <v>449</v>
      </c>
      <c r="E4" s="2" t="s">
        <v>453</v>
      </c>
    </row>
    <row r="5" customFormat="false" ht="15" hidden="false" customHeight="false" outlineLevel="0" collapsed="false">
      <c r="A5" s="2" t="s">
        <v>374</v>
      </c>
      <c r="B5" s="2" t="s">
        <v>454</v>
      </c>
      <c r="C5" s="2" t="s">
        <v>445</v>
      </c>
      <c r="D5" s="2" t="s">
        <v>449</v>
      </c>
      <c r="E5" s="2" t="s">
        <v>455</v>
      </c>
    </row>
    <row r="6" customFormat="false" ht="15" hidden="false" customHeight="false" outlineLevel="0" collapsed="false">
      <c r="A6" s="2" t="s">
        <v>377</v>
      </c>
      <c r="B6" s="2" t="s">
        <v>378</v>
      </c>
      <c r="C6" s="2" t="s">
        <v>456</v>
      </c>
      <c r="D6" s="2" t="s">
        <v>449</v>
      </c>
      <c r="E6" s="2" t="s">
        <v>323</v>
      </c>
    </row>
    <row r="7" customFormat="false" ht="15" hidden="false" customHeight="false" outlineLevel="0" collapsed="false">
      <c r="A7" s="2" t="s">
        <v>380</v>
      </c>
      <c r="B7" s="2" t="s">
        <v>381</v>
      </c>
      <c r="C7" s="2" t="s">
        <v>445</v>
      </c>
      <c r="D7" s="2" t="s">
        <v>449</v>
      </c>
      <c r="E7" s="2"/>
    </row>
    <row r="8" customFormat="false" ht="15" hidden="false" customHeight="false" outlineLevel="0" collapsed="false">
      <c r="A8" s="2" t="s">
        <v>385</v>
      </c>
      <c r="B8" s="2" t="s">
        <v>457</v>
      </c>
      <c r="C8" s="2" t="s">
        <v>458</v>
      </c>
      <c r="D8" s="2" t="s">
        <v>449</v>
      </c>
      <c r="E8" s="2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13"/>
    <col collapsed="false" customWidth="true" hidden="false" outlineLevel="0" max="5" min="5" style="0" width="33"/>
  </cols>
  <sheetData>
    <row r="1" customFormat="false" ht="15" hidden="false" customHeight="false" outlineLevel="0" collapsed="false">
      <c r="A1" s="4" t="s">
        <v>459</v>
      </c>
      <c r="B1" s="4" t="s">
        <v>356</v>
      </c>
      <c r="C1" s="4" t="s">
        <v>460</v>
      </c>
      <c r="D1" s="4" t="s">
        <v>307</v>
      </c>
      <c r="E1" s="4" t="s">
        <v>461</v>
      </c>
    </row>
    <row r="2" customFormat="false" ht="15" hidden="false" customHeight="false" outlineLevel="0" collapsed="false">
      <c r="A2" s="2" t="s">
        <v>27</v>
      </c>
      <c r="B2" s="2" t="s">
        <v>414</v>
      </c>
      <c r="C2" s="2" t="s">
        <v>462</v>
      </c>
      <c r="D2" s="2" t="s">
        <v>463</v>
      </c>
      <c r="E2" s="2" t="s">
        <v>464</v>
      </c>
    </row>
    <row r="3" customFormat="false" ht="15" hidden="false" customHeight="false" outlineLevel="0" collapsed="false">
      <c r="A3" s="2" t="s">
        <v>302</v>
      </c>
      <c r="B3" s="2" t="s">
        <v>465</v>
      </c>
      <c r="C3" s="2" t="s">
        <v>466</v>
      </c>
      <c r="D3" s="2" t="s">
        <v>467</v>
      </c>
      <c r="E3" s="2" t="s">
        <v>468</v>
      </c>
    </row>
    <row r="4" customFormat="false" ht="15" hidden="false" customHeight="false" outlineLevel="0" collapsed="false">
      <c r="A4" s="2" t="s">
        <v>302</v>
      </c>
      <c r="B4" s="2" t="s">
        <v>469</v>
      </c>
      <c r="C4" s="2" t="s">
        <v>470</v>
      </c>
      <c r="D4" s="2" t="s">
        <v>471</v>
      </c>
      <c r="E4" s="2" t="s">
        <v>468</v>
      </c>
    </row>
    <row r="5" customFormat="false" ht="15" hidden="false" customHeight="false" outlineLevel="0" collapsed="false">
      <c r="A5" s="2" t="s">
        <v>302</v>
      </c>
      <c r="B5" s="2" t="s">
        <v>417</v>
      </c>
      <c r="C5" s="2" t="s">
        <v>472</v>
      </c>
      <c r="D5" s="2" t="s">
        <v>463</v>
      </c>
      <c r="E5" s="2" t="s">
        <v>468</v>
      </c>
    </row>
    <row r="6" customFormat="false" ht="15" hidden="false" customHeight="false" outlineLevel="0" collapsed="false">
      <c r="A6" s="2" t="s">
        <v>46</v>
      </c>
      <c r="B6" s="2" t="s">
        <v>473</v>
      </c>
      <c r="C6" s="2" t="s">
        <v>474</v>
      </c>
      <c r="D6" s="2" t="s">
        <v>475</v>
      </c>
      <c r="E6" s="2" t="s">
        <v>468</v>
      </c>
    </row>
    <row r="7" customFormat="false" ht="15" hidden="false" customHeight="false" outlineLevel="0" collapsed="false">
      <c r="A7" s="2" t="s">
        <v>46</v>
      </c>
      <c r="B7" s="2" t="s">
        <v>421</v>
      </c>
      <c r="C7" s="2" t="s">
        <v>476</v>
      </c>
      <c r="D7" s="2" t="s">
        <v>371</v>
      </c>
      <c r="E7" s="2" t="s">
        <v>468</v>
      </c>
    </row>
    <row r="8" customFormat="false" ht="15" hidden="false" customHeight="false" outlineLevel="0" collapsed="false">
      <c r="A8" s="2" t="s">
        <v>34</v>
      </c>
      <c r="B8" s="2" t="s">
        <v>329</v>
      </c>
      <c r="C8" s="2" t="s">
        <v>477</v>
      </c>
      <c r="D8" s="2" t="s">
        <v>475</v>
      </c>
      <c r="E8" s="2" t="s">
        <v>468</v>
      </c>
    </row>
    <row r="9" customFormat="false" ht="15" hidden="false" customHeight="false" outlineLevel="0" collapsed="false">
      <c r="A9" s="2" t="s">
        <v>52</v>
      </c>
      <c r="B9" s="2"/>
      <c r="C9" s="2" t="s">
        <v>478</v>
      </c>
      <c r="D9" s="2"/>
      <c r="E9" s="2"/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6" t="s">
        <v>479</v>
      </c>
    </row>
    <row r="3" customFormat="false" ht="15" hidden="false" customHeight="false" outlineLevel="0" collapsed="false">
      <c r="A3" s="7" t="s">
        <v>480</v>
      </c>
      <c r="B3" s="7" t="n">
        <f aca="false">COUNTA(Contestants!B2:B31)</f>
        <v>30</v>
      </c>
    </row>
    <row r="4" customFormat="false" ht="15" hidden="false" customHeight="false" outlineLevel="0" collapsed="false">
      <c r="A4" s="7" t="s">
        <v>481</v>
      </c>
      <c r="B4" s="7" t="n">
        <f aca="false">COUNTIF(Contestants!I2:I31,"Y")</f>
        <v>18</v>
      </c>
    </row>
    <row r="5" customFormat="false" ht="15" hidden="false" customHeight="false" outlineLevel="0" collapsed="false">
      <c r="A5" s="7" t="s">
        <v>482</v>
      </c>
      <c r="B5" s="7" t="n">
        <f aca="false">COUNTIF(Contestants!G2:G31,"cut_ep1")</f>
        <v>12</v>
      </c>
    </row>
    <row r="6" customFormat="false" ht="15" hidden="false" customHeight="false" outlineLevel="0" collapsed="false">
      <c r="A6" s="7" t="s">
        <v>483</v>
      </c>
      <c r="B6" s="7" t="n">
        <f aca="false">COUNTIF(Contestants!K2:K31,"Y")</f>
        <v>5</v>
      </c>
    </row>
    <row r="7" customFormat="false" ht="15" hidden="false" customHeight="false" outlineLevel="0" collapsed="false">
      <c r="A7" s="7" t="s">
        <v>484</v>
      </c>
      <c r="B7" s="8" t="n">
        <f aca="false">AVERAGEIFS(Contestants!C2:C31,Contestants!K2:K31,"Y")</f>
        <v>17.4</v>
      </c>
    </row>
    <row r="8" customFormat="false" ht="15" hidden="false" customHeight="false" outlineLevel="0" collapsed="false">
      <c r="A8" s="7" t="s">
        <v>485</v>
      </c>
      <c r="B8" s="8" t="n">
        <f aca="false">AVERAGEIFS(Contestants!C2:C31,Contestants!K2:K31,"N")</f>
        <v>18.2</v>
      </c>
    </row>
    <row r="9" customFormat="false" ht="15" hidden="false" customHeight="false" outlineLevel="0" collapsed="false">
      <c r="A9" s="7" t="s">
        <v>486</v>
      </c>
      <c r="B9" s="8" t="n">
        <f aca="false">AVERAGEIFS(Contestants!C2:C31,Contestants!I2:I31,"Y",Contestants!K2:K31,"N")</f>
        <v>17.6153846153846</v>
      </c>
    </row>
    <row r="10" customFormat="false" ht="15" hidden="false" customHeight="false" outlineLevel="0" collapsed="false">
      <c r="A10" s="7" t="s">
        <v>487</v>
      </c>
      <c r="B10" s="7" t="n">
        <f aca="false">SUM(Contestants!N2:N31)</f>
        <v>80</v>
      </c>
    </row>
    <row r="11" customFormat="false" ht="15" hidden="false" customHeight="false" outlineLevel="0" collapsed="false">
      <c r="A11" s="7" t="s">
        <v>488</v>
      </c>
      <c r="B11" s="7" t="n">
        <f aca="false">SUMIFS(Contestants!O2:O31,Contestants!K2:K31,"Y")</f>
        <v>1</v>
      </c>
    </row>
    <row r="12" customFormat="false" ht="15" hidden="false" customHeight="false" outlineLevel="0" collapsed="false">
      <c r="A12" s="7" t="s">
        <v>489</v>
      </c>
      <c r="B12" s="7" t="n">
        <f aca="false">SUMIFS(Contestants!O2:O31,Contestants!K2:K31,"N")</f>
        <v>13</v>
      </c>
    </row>
    <row r="13" customFormat="false" ht="15" hidden="false" customHeight="false" outlineLevel="0" collapsed="false">
      <c r="A13" s="7" t="s">
        <v>490</v>
      </c>
      <c r="B13" s="8" t="n">
        <f aca="false">AVERAGE(Episodes!E2:E11)</f>
        <v>2.4581</v>
      </c>
    </row>
    <row r="14" customFormat="false" ht="15" hidden="false" customHeight="false" outlineLevel="0" collapsed="false">
      <c r="A14" s="7" t="s">
        <v>491</v>
      </c>
      <c r="B14" s="8" t="n">
        <f aca="false">Episodes!E11-Episodes!E2</f>
        <v>-0.596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4" min="3" style="0" width="55"/>
  </cols>
  <sheetData>
    <row r="1" customFormat="false" ht="15" hidden="false" customHeight="false" outlineLevel="0" collapsed="false">
      <c r="A1" s="4" t="s">
        <v>492</v>
      </c>
      <c r="B1" s="4" t="s">
        <v>493</v>
      </c>
      <c r="C1" s="4" t="s">
        <v>494</v>
      </c>
      <c r="D1" s="4" t="s">
        <v>495</v>
      </c>
    </row>
    <row r="2" customFormat="false" ht="15" hidden="false" customHeight="false" outlineLevel="0" collapsed="false">
      <c r="A2" s="2" t="s">
        <v>496</v>
      </c>
      <c r="B2" s="2" t="s">
        <v>497</v>
      </c>
      <c r="C2" s="2" t="s">
        <v>498</v>
      </c>
      <c r="D2" s="2" t="s">
        <v>499</v>
      </c>
    </row>
    <row r="3" customFormat="false" ht="15" hidden="false" customHeight="false" outlineLevel="0" collapsed="false">
      <c r="A3" s="2" t="s">
        <v>500</v>
      </c>
      <c r="B3" s="2" t="s">
        <v>501</v>
      </c>
      <c r="C3" s="2" t="s">
        <v>502</v>
      </c>
      <c r="D3" s="2" t="s">
        <v>503</v>
      </c>
    </row>
    <row r="4" customFormat="false" ht="15" hidden="false" customHeight="false" outlineLevel="0" collapsed="false">
      <c r="A4" s="2" t="s">
        <v>504</v>
      </c>
      <c r="B4" s="2" t="s">
        <v>505</v>
      </c>
      <c r="C4" s="2" t="s">
        <v>506</v>
      </c>
      <c r="D4" s="2" t="s">
        <v>507</v>
      </c>
    </row>
    <row r="5" customFormat="false" ht="15" hidden="false" customHeight="false" outlineLevel="0" collapsed="false">
      <c r="A5" s="2" t="s">
        <v>508</v>
      </c>
      <c r="B5" s="2" t="s">
        <v>468</v>
      </c>
      <c r="C5" s="2" t="s">
        <v>509</v>
      </c>
      <c r="D5" s="2" t="s">
        <v>510</v>
      </c>
    </row>
    <row r="6" customFormat="false" ht="15" hidden="false" customHeight="false" outlineLevel="0" collapsed="false">
      <c r="A6" s="2" t="s">
        <v>511</v>
      </c>
      <c r="B6" s="2" t="s">
        <v>512</v>
      </c>
      <c r="C6" s="2" t="s">
        <v>513</v>
      </c>
      <c r="D6" s="2" t="s">
        <v>514</v>
      </c>
    </row>
    <row r="7" customFormat="false" ht="15" hidden="false" customHeight="false" outlineLevel="0" collapsed="false">
      <c r="A7" s="2" t="s">
        <v>515</v>
      </c>
      <c r="B7" s="2" t="s">
        <v>516</v>
      </c>
      <c r="C7" s="2" t="s">
        <v>517</v>
      </c>
      <c r="D7" s="2" t="s">
        <v>518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4" t="s">
        <v>519</v>
      </c>
      <c r="B1" s="4" t="s">
        <v>520</v>
      </c>
    </row>
    <row r="2" customFormat="false" ht="15" hidden="false" customHeight="false" outlineLevel="0" collapsed="false">
      <c r="A2" s="2" t="s">
        <v>521</v>
      </c>
      <c r="B2" s="2" t="s">
        <v>522</v>
      </c>
    </row>
    <row r="3" customFormat="false" ht="15" hidden="false" customHeight="false" outlineLevel="0" collapsed="false">
      <c r="A3" s="2" t="s">
        <v>523</v>
      </c>
      <c r="B3" s="2" t="s">
        <v>524</v>
      </c>
    </row>
    <row r="4" customFormat="false" ht="15" hidden="false" customHeight="false" outlineLevel="0" collapsed="false">
      <c r="A4" s="2" t="s">
        <v>525</v>
      </c>
      <c r="B4" s="2" t="s">
        <v>526</v>
      </c>
    </row>
    <row r="5" customFormat="false" ht="15" hidden="false" customHeight="false" outlineLevel="0" collapsed="false">
      <c r="A5" s="2" t="s">
        <v>527</v>
      </c>
      <c r="B5" s="2" t="s">
        <v>528</v>
      </c>
    </row>
    <row r="6" customFormat="false" ht="15" hidden="false" customHeight="false" outlineLevel="0" collapsed="false">
      <c r="A6" s="2" t="s">
        <v>529</v>
      </c>
      <c r="B6" s="2" t="s">
        <v>530</v>
      </c>
    </row>
    <row r="7" customFormat="false" ht="35.05" hidden="false" customHeight="false" outlineLevel="0" collapsed="false">
      <c r="A7" s="2" t="s">
        <v>531</v>
      </c>
      <c r="B7" s="2" t="s">
        <v>532</v>
      </c>
    </row>
    <row r="8" customFormat="false" ht="23.85" hidden="false" customHeight="false" outlineLevel="0" collapsed="false">
      <c r="A8" s="2" t="s">
        <v>533</v>
      </c>
      <c r="B8" s="2" t="s">
        <v>534</v>
      </c>
    </row>
    <row r="9" customFormat="false" ht="15" hidden="false" customHeight="false" outlineLevel="0" collapsed="false">
      <c r="A9" s="2" t="s">
        <v>535</v>
      </c>
      <c r="B9" s="2" t="s">
        <v>536</v>
      </c>
    </row>
    <row r="10" customFormat="false" ht="15" hidden="false" customHeight="false" outlineLevel="0" collapsed="false">
      <c r="A10" s="2" t="s">
        <v>537</v>
      </c>
      <c r="B10" s="2" t="s">
        <v>538</v>
      </c>
    </row>
    <row r="11" customFormat="false" ht="23.85" hidden="false" customHeight="false" outlineLevel="0" collapsed="false">
      <c r="A11" s="2" t="s">
        <v>539</v>
      </c>
      <c r="B11" s="2" t="s">
        <v>540</v>
      </c>
    </row>
    <row r="12" customFormat="false" ht="23.85" hidden="false" customHeight="false" outlineLevel="0" collapsed="false">
      <c r="A12" s="2" t="s">
        <v>541</v>
      </c>
      <c r="B12" s="2" t="s">
        <v>542</v>
      </c>
    </row>
    <row r="13" customFormat="false" ht="15" hidden="false" customHeight="false" outlineLevel="0" collapsed="false">
      <c r="A13" s="2" t="s">
        <v>543</v>
      </c>
      <c r="B13" s="2" t="s">
        <v>544</v>
      </c>
    </row>
    <row r="14" customFormat="false" ht="15" hidden="false" customHeight="false" outlineLevel="0" collapsed="false">
      <c r="A14" s="2" t="s">
        <v>545</v>
      </c>
      <c r="B14" s="2" t="s">
        <v>546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2026-10-26T02:56:31Z</dcterms:created>
  <dc:creator>openpyxl</dc:creator>
  <dc:description/>
  <dc:language>en-US</dc:language>
  <cp:lastModifiedBy/>
  <dcterms:modified xsi:type="dcterms:W3CDTF">2026-10-26T02:56:31Z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